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300" windowWidth="18740" windowHeight="11700" tabRatio="837" firstSheet="15" activeTab="17"/>
  </bookViews>
  <sheets>
    <sheet name="Nuova voce" sheetId="10" state="hidden" r:id="rId1"/>
    <sheet name="uses" sheetId="7" r:id="rId2"/>
    <sheet name="uses (2)" sheetId="27" r:id="rId3"/>
    <sheet name="1" sheetId="12" r:id="rId4"/>
    <sheet name="2" sheetId="13" r:id="rId5"/>
    <sheet name="3" sheetId="14" r:id="rId6"/>
    <sheet name="4" sheetId="15" r:id="rId7"/>
    <sheet name="5" sheetId="16" r:id="rId8"/>
    <sheet name="6" sheetId="17" r:id="rId9"/>
    <sheet name="7" sheetId="18" r:id="rId10"/>
    <sheet name="8" sheetId="19" r:id="rId11"/>
    <sheet name="9" sheetId="20" r:id="rId12"/>
    <sheet name="10" sheetId="22" r:id="rId13"/>
    <sheet name="11" sheetId="21" r:id="rId14"/>
    <sheet name="12" sheetId="23" r:id="rId15"/>
    <sheet name="13" sheetId="24" r:id="rId16"/>
    <sheet name="14" sheetId="25" r:id="rId17"/>
    <sheet name="15" sheetId="26" r:id="rId18"/>
    <sheet name="Libro Giornale" sheetId="28" r:id="rId19"/>
    <sheet name="Bilancio di verifica" sheetId="29" r:id="rId20"/>
    <sheet name="Graf" sheetId="30" r:id="rId21"/>
  </sheets>
  <definedNames>
    <definedName name="pippo1">'1'!$A$1:$C$3</definedName>
    <definedName name="pippo2" localSheetId="2">'1'!#REF!</definedName>
    <definedName name="pippo2">'1'!#REF!</definedName>
    <definedName name="pippo3" localSheetId="2">'1'!#REF!</definedName>
    <definedName name="pippo3">'1'!#REF!</definedName>
  </definedNames>
  <calcPr calcId="124519"/>
  <customWorkbookViews>
    <customWorkbookView name="Vedi" guid="{C7DD41FF-C2B2-4E96-9072-66917C2E111C}" maximized="1" xWindow="1" yWindow="1" windowWidth="1280" windowHeight="522" activeSheetId="4"/>
  </customWorkbookViews>
</workbook>
</file>

<file path=xl/calcChain.xml><?xml version="1.0" encoding="utf-8"?>
<calcChain xmlns="http://schemas.openxmlformats.org/spreadsheetml/2006/main">
  <c r="A2" i="30"/>
  <c r="E4" i="7"/>
  <c r="F5" i="27" s="1"/>
  <c r="D19" i="2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B10" i="10"/>
  <c r="B9"/>
  <c r="G15" s="1"/>
  <c r="B1"/>
  <c r="E16"/>
  <c r="E15"/>
  <c r="E14"/>
  <c r="E13"/>
  <c r="E12"/>
  <c r="E11"/>
  <c r="E10"/>
  <c r="E9"/>
  <c r="E8"/>
  <c r="E7"/>
  <c r="E6"/>
  <c r="E5"/>
  <c r="E4"/>
  <c r="E3"/>
  <c r="E2"/>
  <c r="J6" i="12"/>
  <c r="D5" i="29" s="1"/>
  <c r="E6" i="12"/>
  <c r="C5" i="29" s="1"/>
  <c r="G2" i="10" l="1"/>
  <c r="G5"/>
  <c r="G8"/>
  <c r="G12"/>
  <c r="G16"/>
  <c r="G4"/>
  <c r="G6"/>
  <c r="G10"/>
  <c r="G14"/>
  <c r="G9"/>
  <c r="G11"/>
  <c r="G13"/>
  <c r="G7"/>
  <c r="G3"/>
  <c r="D4"/>
  <c r="D5" s="1"/>
  <c r="D6" s="1"/>
  <c r="D7" s="1"/>
  <c r="D8" s="1"/>
  <c r="D9" s="1"/>
  <c r="D10" s="1"/>
  <c r="D11" s="1"/>
  <c r="D12" s="1"/>
  <c r="D13" s="1"/>
  <c r="D14" s="1"/>
  <c r="D15" s="1"/>
  <c r="D16" s="1"/>
  <c r="D3"/>
  <c r="C7" i="27"/>
  <c r="A5"/>
  <c r="C6"/>
  <c r="E6"/>
  <c r="J11" i="7"/>
  <c r="C4"/>
  <c r="H11" s="1"/>
  <c r="B13" i="10"/>
  <c r="A4" i="7" s="1"/>
  <c r="F11" s="1"/>
  <c r="B5" i="27" l="1"/>
  <c r="H16" i="10"/>
  <c r="H14"/>
  <c r="H12"/>
  <c r="H8"/>
  <c r="H4"/>
  <c r="H3"/>
  <c r="H15"/>
  <c r="H13"/>
  <c r="H11"/>
  <c r="H9"/>
  <c r="H7"/>
  <c r="H5"/>
  <c r="H10"/>
  <c r="H6"/>
  <c r="H2"/>
  <c r="G17"/>
  <c r="E13" i="7"/>
  <c r="J13"/>
  <c r="J5" i="18"/>
  <c r="E19" i="29"/>
  <c r="E18"/>
  <c r="E17"/>
  <c r="E16"/>
  <c r="E15"/>
  <c r="E14"/>
  <c r="E13"/>
  <c r="J6" i="13"/>
  <c r="D6" i="29" s="1"/>
  <c r="A6"/>
  <c r="A7" s="1"/>
  <c r="A8" s="1"/>
  <c r="A9" s="1"/>
  <c r="A10" s="1"/>
  <c r="H17" i="10" l="1"/>
  <c r="B4" i="7"/>
  <c r="G11" s="1"/>
  <c r="B12" i="10"/>
  <c r="C5" i="27" l="1"/>
  <c r="E6" i="13"/>
  <c r="C6" i="29" s="1"/>
  <c r="J5" i="26"/>
  <c r="E5"/>
  <c r="J5" i="25"/>
  <c r="E5"/>
  <c r="J5" i="24"/>
  <c r="E5"/>
  <c r="J5" i="23"/>
  <c r="E5"/>
  <c r="J5" i="21"/>
  <c r="E5"/>
  <c r="J5" i="22"/>
  <c r="E5"/>
  <c r="J5" i="20"/>
  <c r="E5"/>
  <c r="J5" i="19"/>
  <c r="E5"/>
  <c r="E5" i="18"/>
  <c r="J5" i="17"/>
  <c r="E5"/>
  <c r="J5" i="16"/>
  <c r="E5"/>
  <c r="J5" i="15"/>
  <c r="E5"/>
  <c r="J5" i="14"/>
  <c r="E5"/>
  <c r="E8" i="29" l="1"/>
  <c r="E12"/>
  <c r="E10"/>
  <c r="E7"/>
  <c r="D21"/>
  <c r="E5"/>
  <c r="E11"/>
  <c r="E9"/>
  <c r="E6"/>
  <c r="C21"/>
  <c r="E6" i="7"/>
  <c r="J6"/>
  <c r="C22" i="29" l="1"/>
  <c r="E21"/>
</calcChain>
</file>

<file path=xl/sharedStrings.xml><?xml version="1.0" encoding="utf-8"?>
<sst xmlns="http://schemas.openxmlformats.org/spreadsheetml/2006/main" count="266" uniqueCount="85">
  <si>
    <t>Data</t>
  </si>
  <si>
    <t>Art.</t>
  </si>
  <si>
    <t>Operazioni</t>
  </si>
  <si>
    <t>Somme                            (€)</t>
  </si>
  <si>
    <t>Totale Dare</t>
  </si>
  <si>
    <t>Totale Avere</t>
  </si>
  <si>
    <t>01. C/Cassa</t>
  </si>
  <si>
    <t>1 - C/Cassa</t>
  </si>
  <si>
    <t>2 - C/Banca CaRiCesena</t>
  </si>
  <si>
    <t>3 - C/Banca Fideuram</t>
  </si>
  <si>
    <t>4 - C/Capitale Netto</t>
  </si>
  <si>
    <t>5 - C/Cartasi</t>
  </si>
  <si>
    <t>6 - C/Postepay</t>
  </si>
  <si>
    <t>7 - C/Entrate Lavoro</t>
  </si>
  <si>
    <t>8 - C/Crediti</t>
  </si>
  <si>
    <t>9 - C/Altre Entrate</t>
  </si>
  <si>
    <t>10 - C/Uscite Lavoro</t>
  </si>
  <si>
    <t>11 - C/Debiti</t>
  </si>
  <si>
    <t>12 - C/Altre Uscite</t>
  </si>
  <si>
    <t>13 - C/Spese Ordinarie</t>
  </si>
  <si>
    <t>14 - C/Spese Straordinarie</t>
  </si>
  <si>
    <t>15 - C/Tributi</t>
  </si>
  <si>
    <t>Riferimento al Mastro</t>
  </si>
  <si>
    <t>Numero - Data - Descrizione dell'articolo</t>
  </si>
  <si>
    <t>Totale                   (€)</t>
  </si>
  <si>
    <t>D</t>
  </si>
  <si>
    <t>A</t>
  </si>
  <si>
    <t>@</t>
  </si>
  <si>
    <t>C/Cassa</t>
  </si>
  <si>
    <t>C/Banca CaRiCesena</t>
  </si>
  <si>
    <t>C/Banca Fideuram</t>
  </si>
  <si>
    <t>C/Capitale Netto</t>
  </si>
  <si>
    <t>C/Cartasi</t>
  </si>
  <si>
    <t>C/Postepay</t>
  </si>
  <si>
    <t>C/Entrate Lavoro</t>
  </si>
  <si>
    <t>C/Crediti</t>
  </si>
  <si>
    <t>C/Altre Entrate</t>
  </si>
  <si>
    <t>C/Uscite Lavoro</t>
  </si>
  <si>
    <t>C/Debiti</t>
  </si>
  <si>
    <t>C/Altre Uscite</t>
  </si>
  <si>
    <t>C/Spese Ordinarie</t>
  </si>
  <si>
    <t>C/Spese Straordinarie</t>
  </si>
  <si>
    <t>C/Tributi</t>
  </si>
  <si>
    <t>Libro Giornale</t>
  </si>
  <si>
    <t>Bilancio di Verifica</t>
  </si>
  <si>
    <t>No.</t>
  </si>
  <si>
    <t>Descrizione dei conto</t>
  </si>
  <si>
    <t>Dare                    (€)</t>
  </si>
  <si>
    <t>Avere                                   (€)</t>
  </si>
  <si>
    <t>Totale</t>
  </si>
  <si>
    <t>Saldo                           (€)</t>
  </si>
  <si>
    <t>01 Gen</t>
  </si>
  <si>
    <t>Giorno</t>
  </si>
  <si>
    <t>Mese</t>
  </si>
  <si>
    <t>Anno</t>
  </si>
  <si>
    <t>Causale</t>
  </si>
  <si>
    <t>Conto Dare</t>
  </si>
  <si>
    <t>Conto Avere</t>
  </si>
  <si>
    <t>Importo</t>
  </si>
  <si>
    <t>Numero</t>
  </si>
  <si>
    <t>Voce Conto Transitoria DARE</t>
  </si>
  <si>
    <t>Voce Conto Transitoria AVERE</t>
  </si>
  <si>
    <t>Data1</t>
  </si>
  <si>
    <t>Data2</t>
  </si>
  <si>
    <t>No. Conto Dare</t>
  </si>
  <si>
    <t>No. Conto Avere</t>
  </si>
  <si>
    <t>Conto</t>
  </si>
  <si>
    <t>Numero voci</t>
  </si>
  <si>
    <t>Righe Dare</t>
  </si>
  <si>
    <t>Righe Avere</t>
  </si>
  <si>
    <t>02. C/Banca CaRiCesena</t>
  </si>
  <si>
    <t>05</t>
  </si>
  <si>
    <t>Mag</t>
  </si>
  <si>
    <t>Quinta causale</t>
  </si>
  <si>
    <t>No. Celle</t>
  </si>
  <si>
    <t>Entrate                     C/Cassa</t>
  </si>
  <si>
    <t>Uscite                     C/Cassa</t>
  </si>
  <si>
    <t>Entrate C/CaRiCesena</t>
  </si>
  <si>
    <t>Uscite C/CaRiCesena</t>
  </si>
  <si>
    <t>Entrate      C/Fideurram</t>
  </si>
  <si>
    <t>Uscite      C/Fideurram</t>
  </si>
  <si>
    <t>Saldo</t>
  </si>
  <si>
    <t>Media Mobile</t>
  </si>
  <si>
    <t>05 Mag</t>
  </si>
  <si>
    <t>No. 1  -  05 Mag 2012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</si>
</sst>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b/>
      <sz val="20"/>
      <color theme="2" tint="-0.89996032593768116"/>
      <name val="Andalus"/>
    </font>
    <font>
      <sz val="11"/>
      <color theme="1"/>
      <name val="Andalus"/>
    </font>
    <font>
      <b/>
      <sz val="9"/>
      <color theme="1"/>
      <name val="Andalus"/>
    </font>
    <font>
      <sz val="9"/>
      <color theme="1"/>
      <name val="Andalus"/>
    </font>
    <font>
      <b/>
      <sz val="12"/>
      <color theme="1"/>
      <name val="Andalus"/>
    </font>
    <font>
      <sz val="12"/>
      <color theme="1"/>
      <name val="Andalus"/>
    </font>
    <font>
      <sz val="8"/>
      <color theme="1"/>
      <name val="Andalus"/>
    </font>
    <font>
      <b/>
      <sz val="8"/>
      <color theme="1"/>
      <name val="Andalus"/>
    </font>
    <font>
      <b/>
      <sz val="13"/>
      <color theme="1"/>
      <name val="Andalus"/>
    </font>
    <font>
      <sz val="13"/>
      <color theme="1"/>
      <name val="Andalus"/>
    </font>
    <font>
      <b/>
      <sz val="9"/>
      <color rgb="FFFF0000"/>
      <name val="Andalus"/>
    </font>
    <font>
      <b/>
      <sz val="11"/>
      <color theme="1"/>
      <name val="Calibri"/>
      <family val="2"/>
      <scheme val="minor"/>
    </font>
    <font>
      <sz val="10"/>
      <color theme="1"/>
      <name val="Andalus"/>
    </font>
  </fonts>
  <fills count="7">
    <fill>
      <patternFill patternType="none"/>
    </fill>
    <fill>
      <patternFill patternType="gray125"/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rgb="FFFFC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68">
    <border>
      <left/>
      <right/>
      <top/>
      <bottom/>
      <diagonal/>
    </border>
    <border>
      <left style="thick">
        <color theme="2" tint="-0.749961851863155"/>
      </left>
      <right style="thick">
        <color theme="2" tint="-0.749961851863155"/>
      </right>
      <top style="thick">
        <color theme="2" tint="-0.749961851863155"/>
      </top>
      <bottom style="thick">
        <color theme="2" tint="-0.7499618518631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double">
        <color theme="1"/>
      </bottom>
      <diagonal/>
    </border>
    <border>
      <left style="thin">
        <color theme="1"/>
      </left>
      <right style="thin">
        <color theme="1"/>
      </right>
      <top/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9" fontId="1" fillId="2" borderId="1">
      <alignment horizontal="center" vertical="center"/>
      <protection locked="0"/>
    </xf>
  </cellStyleXfs>
  <cellXfs count="207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left" vertical="center" indent="1"/>
    </xf>
    <xf numFmtId="2" fontId="4" fillId="0" borderId="0" xfId="0" applyNumberFormat="1" applyFont="1" applyBorder="1" applyAlignment="1">
      <alignment horizontal="right" vertical="center" indent="1"/>
    </xf>
    <xf numFmtId="49" fontId="3" fillId="0" borderId="13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4" fillId="0" borderId="18" xfId="0" applyNumberFormat="1" applyFont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right" indent="1"/>
    </xf>
    <xf numFmtId="2" fontId="4" fillId="0" borderId="27" xfId="0" applyNumberFormat="1" applyFont="1" applyBorder="1" applyAlignment="1">
      <alignment horizontal="right" indent="1"/>
    </xf>
    <xf numFmtId="2" fontId="7" fillId="0" borderId="15" xfId="0" applyNumberFormat="1" applyFont="1" applyFill="1" applyBorder="1" applyAlignment="1">
      <alignment horizontal="right" indent="1"/>
    </xf>
    <xf numFmtId="2" fontId="3" fillId="0" borderId="14" xfId="0" applyNumberFormat="1" applyFont="1" applyBorder="1" applyAlignment="1">
      <alignment horizontal="right" vertical="center" wrapText="1" indent="1"/>
    </xf>
    <xf numFmtId="2" fontId="3" fillId="0" borderId="15" xfId="0" applyNumberFormat="1" applyFont="1" applyBorder="1" applyAlignment="1">
      <alignment horizontal="right" vertical="center" wrapText="1" indent="1"/>
    </xf>
    <xf numFmtId="2" fontId="8" fillId="0" borderId="16" xfId="0" applyNumberFormat="1" applyFont="1" applyBorder="1" applyAlignment="1">
      <alignment horizontal="right" vertical="center" indent="1"/>
    </xf>
    <xf numFmtId="2" fontId="8" fillId="0" borderId="17" xfId="0" applyNumberFormat="1" applyFont="1" applyBorder="1" applyAlignment="1">
      <alignment horizontal="right" vertical="center" indent="1"/>
    </xf>
    <xf numFmtId="0" fontId="2" fillId="0" borderId="0" xfId="0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22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 wrapText="1" indent="1"/>
    </xf>
    <xf numFmtId="0" fontId="4" fillId="0" borderId="35" xfId="0" applyFont="1" applyBorder="1" applyAlignment="1">
      <alignment horizontal="left" vertical="center" wrapText="1" indent="1"/>
    </xf>
    <xf numFmtId="0" fontId="3" fillId="0" borderId="29" xfId="0" applyFont="1" applyBorder="1" applyAlignment="1">
      <alignment horizontal="right" vertical="center" indent="1"/>
    </xf>
    <xf numFmtId="0" fontId="3" fillId="0" borderId="30" xfId="0" applyFont="1" applyBorder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center"/>
    </xf>
    <xf numFmtId="49" fontId="3" fillId="3" borderId="20" xfId="0" applyNumberFormat="1" applyFont="1" applyFill="1" applyBorder="1" applyAlignment="1">
      <alignment horizontal="center" vertical="center"/>
    </xf>
    <xf numFmtId="49" fontId="3" fillId="3" borderId="21" xfId="0" applyNumberFormat="1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2" fontId="3" fillId="3" borderId="21" xfId="0" applyNumberFormat="1" applyFont="1" applyFill="1" applyBorder="1" applyAlignment="1">
      <alignment horizontal="center" vertical="center" wrapText="1"/>
    </xf>
    <xf numFmtId="2" fontId="3" fillId="3" borderId="22" xfId="0" applyNumberFormat="1" applyFont="1" applyFill="1" applyBorder="1" applyAlignment="1">
      <alignment horizontal="center" vertical="center" wrapText="1"/>
    </xf>
    <xf numFmtId="49" fontId="3" fillId="3" borderId="13" xfId="0" applyNumberFormat="1" applyFont="1" applyFill="1" applyBorder="1" applyAlignment="1">
      <alignment horizontal="center" vertical="center"/>
    </xf>
    <xf numFmtId="49" fontId="3" fillId="3" borderId="14" xfId="0" applyNumberFormat="1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right" vertical="center" wrapText="1" indent="1"/>
    </xf>
    <xf numFmtId="2" fontId="3" fillId="3" borderId="15" xfId="0" applyNumberFormat="1" applyFont="1" applyFill="1" applyBorder="1" applyAlignment="1">
      <alignment horizontal="right" vertical="center" wrapText="1" indent="1"/>
    </xf>
    <xf numFmtId="49" fontId="4" fillId="3" borderId="18" xfId="0" applyNumberFormat="1" applyFont="1" applyFill="1" applyBorder="1" applyAlignment="1">
      <alignment horizontal="center" vertical="center"/>
    </xf>
    <xf numFmtId="49" fontId="4" fillId="3" borderId="19" xfId="0" applyNumberFormat="1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 vertical="center" wrapText="1" indent="1"/>
    </xf>
    <xf numFmtId="0" fontId="4" fillId="3" borderId="35" xfId="0" applyFont="1" applyFill="1" applyBorder="1" applyAlignment="1">
      <alignment horizontal="left" vertical="center" wrapText="1" indent="1"/>
    </xf>
    <xf numFmtId="2" fontId="4" fillId="3" borderId="27" xfId="0" applyNumberFormat="1" applyFont="1" applyFill="1" applyBorder="1" applyAlignment="1">
      <alignment horizontal="right" indent="1"/>
    </xf>
    <xf numFmtId="2" fontId="4" fillId="3" borderId="26" xfId="0" applyNumberFormat="1" applyFont="1" applyFill="1" applyBorder="1" applyAlignment="1">
      <alignment horizontal="right" indent="1"/>
    </xf>
    <xf numFmtId="0" fontId="3" fillId="3" borderId="29" xfId="0" applyFont="1" applyFill="1" applyBorder="1" applyAlignment="1">
      <alignment horizontal="right" vertical="center" indent="1"/>
    </xf>
    <xf numFmtId="2" fontId="8" fillId="3" borderId="16" xfId="0" applyNumberFormat="1" applyFont="1" applyFill="1" applyBorder="1" applyAlignment="1">
      <alignment horizontal="right" vertical="center" indent="1"/>
    </xf>
    <xf numFmtId="2" fontId="8" fillId="3" borderId="17" xfId="0" applyNumberFormat="1" applyFont="1" applyFill="1" applyBorder="1" applyAlignment="1">
      <alignment horizontal="right" vertical="center" indent="1"/>
    </xf>
    <xf numFmtId="0" fontId="7" fillId="0" borderId="13" xfId="0" applyNumberFormat="1" applyFont="1" applyFill="1" applyBorder="1" applyAlignment="1">
      <alignment horizontal="center" vertical="top"/>
    </xf>
    <xf numFmtId="0" fontId="7" fillId="0" borderId="14" xfId="0" applyNumberFormat="1" applyFont="1" applyFill="1" applyBorder="1" applyAlignment="1">
      <alignment horizontal="center" vertical="top"/>
    </xf>
    <xf numFmtId="0" fontId="7" fillId="0" borderId="32" xfId="0" applyFont="1" applyFill="1" applyBorder="1" applyAlignment="1">
      <alignment horizontal="left" vertical="top" wrapText="1" indent="1"/>
    </xf>
    <xf numFmtId="0" fontId="7" fillId="0" borderId="30" xfId="0" applyFont="1" applyFill="1" applyBorder="1" applyAlignment="1">
      <alignment horizontal="left" vertical="top" wrapText="1" indent="1"/>
    </xf>
    <xf numFmtId="2" fontId="7" fillId="0" borderId="32" xfId="0" applyNumberFormat="1" applyFont="1" applyFill="1" applyBorder="1" applyAlignment="1">
      <alignment horizontal="right" indent="1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4" fillId="0" borderId="0" xfId="0" quotePrefix="1" applyNumberFormat="1" applyFont="1" applyFill="1" applyBorder="1" applyAlignment="1">
      <alignment horizontal="center" vertical="center"/>
    </xf>
    <xf numFmtId="0" fontId="4" fillId="0" borderId="0" xfId="0" quotePrefix="1" applyFont="1" applyFill="1" applyBorder="1" applyAlignment="1">
      <alignment horizontal="left" vertical="center" indent="1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2" fontId="4" fillId="0" borderId="0" xfId="0" applyNumberFormat="1" applyFont="1" applyAlignment="1">
      <alignment horizontal="right" vertical="center" indent="1"/>
    </xf>
    <xf numFmtId="0" fontId="4" fillId="0" borderId="0" xfId="0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4" fillId="0" borderId="0" xfId="0" quotePrefix="1" applyNumberFormat="1" applyFont="1" applyFill="1" applyBorder="1" applyAlignment="1">
      <alignment horizontal="left" vertical="top"/>
    </xf>
    <xf numFmtId="0" fontId="4" fillId="0" borderId="0" xfId="0" quotePrefix="1" applyFont="1" applyFill="1" applyBorder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4" fillId="0" borderId="3" xfId="0" quotePrefix="1" applyNumberFormat="1" applyFont="1" applyFill="1" applyBorder="1" applyAlignment="1">
      <alignment horizontal="center" vertical="center"/>
    </xf>
    <xf numFmtId="0" fontId="4" fillId="0" borderId="4" xfId="0" quotePrefix="1" applyNumberFormat="1" applyFont="1" applyFill="1" applyBorder="1" applyAlignment="1">
      <alignment horizontal="left" vertical="center" indent="1"/>
    </xf>
    <xf numFmtId="0" fontId="4" fillId="0" borderId="49" xfId="0" applyFont="1" applyBorder="1" applyAlignment="1">
      <alignment horizontal="center" vertical="center"/>
    </xf>
    <xf numFmtId="0" fontId="4" fillId="0" borderId="0" xfId="0" applyFont="1"/>
    <xf numFmtId="2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2" fontId="3" fillId="0" borderId="37" xfId="0" applyNumberFormat="1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center" wrapText="1" indent="1"/>
    </xf>
    <xf numFmtId="0" fontId="3" fillId="0" borderId="38" xfId="0" applyNumberFormat="1" applyFont="1" applyBorder="1" applyAlignment="1">
      <alignment horizontal="center" vertical="center" wrapText="1"/>
    </xf>
    <xf numFmtId="0" fontId="3" fillId="0" borderId="51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2" fontId="3" fillId="0" borderId="46" xfId="0" applyNumberFormat="1" applyFont="1" applyBorder="1" applyAlignment="1">
      <alignment horizontal="center" vertical="center" wrapText="1"/>
    </xf>
    <xf numFmtId="0" fontId="3" fillId="0" borderId="53" xfId="0" applyFont="1" applyBorder="1" applyAlignment="1">
      <alignment horizontal="left" vertical="center" wrapText="1" indent="1"/>
    </xf>
    <xf numFmtId="0" fontId="3" fillId="0" borderId="53" xfId="0" applyNumberFormat="1" applyFont="1" applyBorder="1" applyAlignment="1">
      <alignment horizontal="center" vertical="center" wrapText="1"/>
    </xf>
    <xf numFmtId="0" fontId="3" fillId="0" borderId="47" xfId="0" applyNumberFormat="1" applyFont="1" applyBorder="1" applyAlignment="1">
      <alignment horizontal="center" vertical="center" wrapText="1"/>
    </xf>
    <xf numFmtId="1" fontId="4" fillId="0" borderId="46" xfId="0" applyNumberFormat="1" applyFont="1" applyBorder="1" applyAlignment="1">
      <alignment horizontal="center" vertical="center"/>
    </xf>
    <xf numFmtId="0" fontId="4" fillId="0" borderId="53" xfId="0" applyFont="1" applyBorder="1" applyAlignment="1">
      <alignment horizontal="left" vertical="center" indent="1"/>
    </xf>
    <xf numFmtId="2" fontId="4" fillId="0" borderId="53" xfId="0" applyNumberFormat="1" applyFont="1" applyBorder="1" applyAlignment="1">
      <alignment horizontal="right" vertical="center" indent="1"/>
    </xf>
    <xf numFmtId="2" fontId="4" fillId="0" borderId="47" xfId="0" applyNumberFormat="1" applyFont="1" applyBorder="1" applyAlignment="1">
      <alignment horizontal="right" vertical="center" indent="1"/>
    </xf>
    <xf numFmtId="2" fontId="3" fillId="0" borderId="48" xfId="0" applyNumberFormat="1" applyFont="1" applyBorder="1" applyAlignment="1">
      <alignment horizontal="center" vertical="center" wrapText="1"/>
    </xf>
    <xf numFmtId="0" fontId="3" fillId="0" borderId="54" xfId="0" applyFont="1" applyBorder="1" applyAlignment="1">
      <alignment horizontal="left" vertical="center" wrapText="1" indent="1"/>
    </xf>
    <xf numFmtId="0" fontId="3" fillId="0" borderId="53" xfId="0" applyNumberFormat="1" applyFont="1" applyBorder="1" applyAlignment="1">
      <alignment horizontal="right" vertical="center" wrapText="1" indent="1"/>
    </xf>
    <xf numFmtId="0" fontId="3" fillId="0" borderId="47" xfId="0" applyNumberFormat="1" applyFont="1" applyBorder="1" applyAlignment="1">
      <alignment horizontal="right" vertical="center" wrapText="1" indent="1"/>
    </xf>
    <xf numFmtId="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2" fontId="3" fillId="0" borderId="57" xfId="0" applyNumberFormat="1" applyFont="1" applyBorder="1" applyAlignment="1">
      <alignment horizontal="right" vertical="center" indent="1"/>
    </xf>
    <xf numFmtId="2" fontId="3" fillId="0" borderId="58" xfId="0" applyNumberFormat="1" applyFont="1" applyBorder="1" applyAlignment="1">
      <alignment horizontal="right" vertical="center" indent="1"/>
    </xf>
    <xf numFmtId="0" fontId="4" fillId="0" borderId="59" xfId="0" applyFont="1" applyBorder="1" applyAlignment="1">
      <alignment horizontal="center" vertical="center"/>
    </xf>
    <xf numFmtId="2" fontId="4" fillId="0" borderId="62" xfId="0" applyNumberFormat="1" applyFont="1" applyBorder="1" applyAlignment="1">
      <alignment horizontal="right" vertical="center" indent="1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1" xfId="0" applyFont="1" applyBorder="1" applyAlignment="1">
      <alignment horizontal="left" vertical="center" indent="1"/>
    </xf>
    <xf numFmtId="0" fontId="4" fillId="0" borderId="0" xfId="0" applyNumberFormat="1" applyFont="1" applyFill="1" applyBorder="1" applyAlignment="1">
      <alignment horizontal="center" vertical="top"/>
    </xf>
    <xf numFmtId="0" fontId="4" fillId="0" borderId="2" xfId="0" applyNumberFormat="1" applyFont="1" applyFill="1" applyBorder="1" applyAlignment="1">
      <alignment horizontal="left" vertical="top" indent="1"/>
    </xf>
    <xf numFmtId="2" fontId="4" fillId="0" borderId="53" xfId="0" applyNumberFormat="1" applyFont="1" applyFill="1" applyBorder="1" applyAlignment="1">
      <alignment horizontal="right" vertical="center" indent="1"/>
    </xf>
    <xf numFmtId="2" fontId="4" fillId="0" borderId="47" xfId="0" applyNumberFormat="1" applyFont="1" applyFill="1" applyBorder="1" applyAlignment="1">
      <alignment horizontal="right" vertical="center" indent="1"/>
    </xf>
    <xf numFmtId="0" fontId="4" fillId="0" borderId="0" xfId="0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right" indent="1"/>
    </xf>
    <xf numFmtId="0" fontId="4" fillId="0" borderId="0" xfId="0" applyFont="1" applyFill="1" applyBorder="1" applyAlignment="1">
      <alignment horizontal="left" vertical="center" indent="1"/>
    </xf>
    <xf numFmtId="0" fontId="4" fillId="0" borderId="5" xfId="0" applyNumberFormat="1" applyFont="1" applyFill="1" applyBorder="1" applyAlignment="1">
      <alignment horizontal="left" vertical="top" indent="1"/>
    </xf>
    <xf numFmtId="0" fontId="4" fillId="0" borderId="6" xfId="0" applyNumberFormat="1" applyFont="1" applyFill="1" applyBorder="1" applyAlignment="1">
      <alignment horizontal="left" vertical="top" indent="1"/>
    </xf>
    <xf numFmtId="1" fontId="7" fillId="0" borderId="14" xfId="0" applyNumberFormat="1" applyFont="1" applyFill="1" applyBorder="1" applyAlignment="1">
      <alignment horizontal="center" vertical="top"/>
    </xf>
    <xf numFmtId="0" fontId="0" fillId="0" borderId="0" xfId="0" applyFill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12" fillId="0" borderId="0" xfId="0" applyFont="1" applyFill="1" applyAlignment="1" applyProtection="1">
      <alignment horizontal="left" vertical="center"/>
    </xf>
    <xf numFmtId="0" fontId="12" fillId="3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horizontal="left" vertical="center"/>
    </xf>
    <xf numFmtId="1" fontId="0" fillId="4" borderId="0" xfId="0" applyNumberFormat="1" applyFill="1" applyAlignment="1" applyProtection="1">
      <alignment horizontal="left" vertical="center"/>
    </xf>
    <xf numFmtId="49" fontId="0" fillId="4" borderId="0" xfId="0" applyNumberFormat="1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9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center" indent="1"/>
    </xf>
    <xf numFmtId="0" fontId="10" fillId="3" borderId="49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2" fontId="4" fillId="0" borderId="0" xfId="0" applyNumberFormat="1" applyFont="1" applyFill="1" applyBorder="1" applyAlignment="1">
      <alignment horizontal="right" vertical="center" indent="1"/>
    </xf>
    <xf numFmtId="0" fontId="4" fillId="0" borderId="0" xfId="0" applyFont="1" applyFill="1" applyAlignment="1">
      <alignment horizontal="left" vertical="center" indent="1"/>
    </xf>
    <xf numFmtId="2" fontId="4" fillId="0" borderId="0" xfId="0" applyNumberFormat="1" applyFont="1" applyFill="1" applyAlignment="1">
      <alignment horizontal="right" vertical="center" indent="1"/>
    </xf>
    <xf numFmtId="0" fontId="12" fillId="0" borderId="0" xfId="0" applyFont="1" applyFill="1" applyAlignment="1" applyProtection="1">
      <alignment horizontal="center" vertical="center"/>
    </xf>
    <xf numFmtId="0" fontId="12" fillId="5" borderId="0" xfId="0" applyFont="1" applyFill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 wrapText="1"/>
    </xf>
    <xf numFmtId="0" fontId="4" fillId="0" borderId="5" xfId="0" applyNumberFormat="1" applyFont="1" applyFill="1" applyBorder="1" applyAlignment="1">
      <alignment horizontal="left" vertical="top" indent="1"/>
    </xf>
    <xf numFmtId="0" fontId="4" fillId="0" borderId="6" xfId="0" applyNumberFormat="1" applyFont="1" applyFill="1" applyBorder="1" applyAlignment="1">
      <alignment horizontal="left" vertical="top" indent="1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6" fillId="3" borderId="11" xfId="0" applyFont="1" applyFill="1" applyBorder="1"/>
    <xf numFmtId="0" fontId="6" fillId="3" borderId="12" xfId="0" applyFont="1" applyFill="1" applyBorder="1"/>
    <xf numFmtId="0" fontId="3" fillId="3" borderId="23" xfId="0" applyFont="1" applyFill="1" applyBorder="1" applyAlignment="1">
      <alignment horizontal="right" vertical="center" indent="1"/>
    </xf>
    <xf numFmtId="0" fontId="3" fillId="3" borderId="24" xfId="0" applyFont="1" applyFill="1" applyBorder="1" applyAlignment="1">
      <alignment horizontal="right" vertical="center" indent="1"/>
    </xf>
    <xf numFmtId="0" fontId="3" fillId="3" borderId="28" xfId="0" applyFont="1" applyFill="1" applyBorder="1" applyAlignment="1">
      <alignment horizontal="right" vertical="center" indent="1"/>
    </xf>
    <xf numFmtId="0" fontId="4" fillId="0" borderId="0" xfId="0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right" indent="1"/>
    </xf>
    <xf numFmtId="0" fontId="4" fillId="0" borderId="0" xfId="0" applyFont="1" applyFill="1" applyBorder="1" applyAlignment="1">
      <alignment horizontal="left" vertical="center" indent="1"/>
    </xf>
    <xf numFmtId="0" fontId="9" fillId="3" borderId="36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 wrapText="1"/>
    </xf>
    <xf numFmtId="0" fontId="3" fillId="3" borderId="38" xfId="0" applyFont="1" applyFill="1" applyBorder="1" applyAlignment="1">
      <alignment horizontal="center" vertical="center" wrapText="1"/>
    </xf>
    <xf numFmtId="0" fontId="3" fillId="3" borderId="38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2" fontId="3" fillId="3" borderId="51" xfId="0" applyNumberFormat="1" applyFont="1" applyFill="1" applyBorder="1" applyAlignment="1">
      <alignment horizontal="center" vertical="center" wrapText="1"/>
    </xf>
    <xf numFmtId="2" fontId="3" fillId="3" borderId="52" xfId="0" applyNumberFormat="1" applyFont="1" applyFill="1" applyBorder="1" applyAlignment="1">
      <alignment horizontal="center" vertical="center" wrapText="1"/>
    </xf>
    <xf numFmtId="1" fontId="4" fillId="0" borderId="43" xfId="0" applyNumberFormat="1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63" xfId="0" applyFont="1" applyFill="1" applyBorder="1" applyAlignment="1">
      <alignment horizontal="center" vertical="center"/>
    </xf>
    <xf numFmtId="1" fontId="4" fillId="0" borderId="44" xfId="0" applyNumberFormat="1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64" xfId="0" applyFont="1" applyFill="1" applyBorder="1" applyAlignment="1">
      <alignment horizontal="center" vertical="center"/>
    </xf>
    <xf numFmtId="2" fontId="4" fillId="0" borderId="52" xfId="0" applyNumberFormat="1" applyFont="1" applyFill="1" applyBorder="1" applyAlignment="1">
      <alignment horizontal="right" indent="1"/>
    </xf>
    <xf numFmtId="2" fontId="4" fillId="0" borderId="60" xfId="0" applyNumberFormat="1" applyFont="1" applyFill="1" applyBorder="1" applyAlignment="1">
      <alignment horizontal="right" indent="1"/>
    </xf>
    <xf numFmtId="0" fontId="4" fillId="0" borderId="5" xfId="0" applyNumberFormat="1" applyFont="1" applyFill="1" applyBorder="1" applyAlignment="1">
      <alignment horizontal="left" vertical="top" indent="1"/>
    </xf>
    <xf numFmtId="0" fontId="4" fillId="0" borderId="0" xfId="0" applyNumberFormat="1" applyFont="1" applyFill="1" applyBorder="1" applyAlignment="1">
      <alignment horizontal="left" vertical="top" indent="1"/>
    </xf>
    <xf numFmtId="0" fontId="4" fillId="0" borderId="6" xfId="0" applyNumberFormat="1" applyFont="1" applyFill="1" applyBorder="1" applyAlignment="1">
      <alignment horizontal="left" vertical="top" indent="1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6" fillId="0" borderId="11" xfId="0" applyFont="1" applyBorder="1"/>
    <xf numFmtId="0" fontId="6" fillId="0" borderId="12" xfId="0" applyFont="1" applyBorder="1"/>
    <xf numFmtId="0" fontId="3" fillId="0" borderId="23" xfId="0" applyFont="1" applyBorder="1" applyAlignment="1">
      <alignment horizontal="right" vertical="center" indent="1"/>
    </xf>
    <xf numFmtId="0" fontId="3" fillId="0" borderId="24" xfId="0" applyFont="1" applyBorder="1" applyAlignment="1">
      <alignment horizontal="right" vertical="center" indent="1"/>
    </xf>
    <xf numFmtId="0" fontId="3" fillId="0" borderId="28" xfId="0" applyFont="1" applyBorder="1" applyAlignment="1">
      <alignment horizontal="right" vertical="center" indent="1"/>
    </xf>
    <xf numFmtId="0" fontId="5" fillId="0" borderId="11" xfId="0" applyFont="1" applyBorder="1"/>
    <xf numFmtId="0" fontId="5" fillId="0" borderId="12" xfId="0" applyFont="1" applyBorder="1"/>
    <xf numFmtId="0" fontId="5" fillId="0" borderId="3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2" fontId="3" fillId="0" borderId="42" xfId="0" applyNumberFormat="1" applyFont="1" applyBorder="1" applyAlignment="1">
      <alignment horizontal="center" vertical="center" wrapText="1"/>
    </xf>
    <xf numFmtId="2" fontId="3" fillId="0" borderId="45" xfId="0" applyNumberFormat="1" applyFont="1" applyBorder="1" applyAlignment="1">
      <alignment horizontal="center" vertical="center" wrapText="1"/>
    </xf>
    <xf numFmtId="2" fontId="4" fillId="0" borderId="55" xfId="0" applyNumberFormat="1" applyFont="1" applyBorder="1" applyAlignment="1">
      <alignment horizontal="right" vertical="center" indent="1"/>
    </xf>
    <xf numFmtId="0" fontId="2" fillId="0" borderId="56" xfId="0" applyFont="1" applyBorder="1" applyAlignment="1">
      <alignment horizontal="right" vertical="center" indent="1"/>
    </xf>
    <xf numFmtId="0" fontId="11" fillId="0" borderId="40" xfId="0" applyNumberFormat="1" applyFont="1" applyBorder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 wrapText="1"/>
    </xf>
    <xf numFmtId="0" fontId="9" fillId="0" borderId="36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</cellXfs>
  <cellStyles count="2">
    <cellStyle name="Normale" xfId="0" builtinId="0"/>
    <cellStyle name="Stile 1" xfId="1"/>
  </cellStyles>
  <dxfs count="0"/>
  <tableStyles count="0" defaultTableStyle="TableStyleMedium9" defaultPivotStyle="PivotStyleLight16"/>
  <colors>
    <mruColors>
      <color rgb="FF33CC33"/>
      <color rgb="FF66FF33"/>
      <color rgb="FF008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it-IT"/>
            </a:pPr>
            <a:r>
              <a:rPr lang="it-IT" sz="1200"/>
              <a:t>Andamento Flussi Monetari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2119117008085994"/>
          <c:y val="0.11606823227656973"/>
          <c:w val="0.848586810228803"/>
          <c:h val="0.60233480527771854"/>
        </c:manualLayout>
      </c:layout>
      <c:scatterChart>
        <c:scatterStyle val="lineMarker"/>
        <c:ser>
          <c:idx val="2"/>
          <c:order val="0"/>
          <c:tx>
            <c:v> Flusso C/Cassa</c:v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Graf!$A$5:$A$1500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Graf!$D$5:$D$1500</c:f>
              <c:numCache>
                <c:formatCode>General</c:formatCode>
                <c:ptCount val="1496"/>
                <c:pt idx="0">
                  <c:v>0</c:v>
                </c:pt>
                <c:pt idx="1">
                  <c:v>-100</c:v>
                </c:pt>
              </c:numCache>
            </c:numRef>
          </c:yVal>
        </c:ser>
        <c:ser>
          <c:idx val="0"/>
          <c:order val="1"/>
          <c:tx>
            <c:v> Flusso Totale</c:v>
          </c:tx>
          <c:spPr>
            <a:ln w="41275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Graf!$A$5:$A$1500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Graf!$K$5:$K$1500</c:f>
              <c:numCache>
                <c:formatCode>General</c:formatCode>
                <c:ptCount val="1496"/>
                <c:pt idx="1">
                  <c:v>0</c:v>
                </c:pt>
              </c:numCache>
            </c:numRef>
          </c:yVal>
        </c:ser>
        <c:ser>
          <c:idx val="3"/>
          <c:order val="2"/>
          <c:tx>
            <c:v> Flusso C/Banca CaRiCesena</c:v>
          </c:tx>
          <c:spPr>
            <a:ln w="38100">
              <a:solidFill>
                <a:srgbClr val="33CC33"/>
              </a:solidFill>
            </a:ln>
          </c:spPr>
          <c:marker>
            <c:symbol val="none"/>
          </c:marker>
          <c:xVal>
            <c:numRef>
              <c:f>Graf!$A$5:$A$1500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Graf!$G$5:$G$1500</c:f>
              <c:numCache>
                <c:formatCode>General</c:formatCode>
                <c:ptCount val="1496"/>
                <c:pt idx="0">
                  <c:v>0</c:v>
                </c:pt>
                <c:pt idx="1">
                  <c:v>100</c:v>
                </c:pt>
              </c:numCache>
            </c:numRef>
          </c:yVal>
        </c:ser>
        <c:ser>
          <c:idx val="1"/>
          <c:order val="3"/>
          <c:tx>
            <c:v> Media Mobile</c:v>
          </c:tx>
          <c:spPr>
            <a:ln w="31750">
              <a:solidFill>
                <a:schemeClr val="tx1">
                  <a:lumMod val="75000"/>
                  <a:lumOff val="2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Graf!$A$5:$A$1500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Graf!$L$5:$L$1500</c:f>
              <c:numCache>
                <c:formatCode>General</c:formatCode>
                <c:ptCount val="1496"/>
                <c:pt idx="1">
                  <c:v>0</c:v>
                </c:pt>
              </c:numCache>
            </c:numRef>
          </c:yVal>
        </c:ser>
        <c:ser>
          <c:idx val="4"/>
          <c:order val="4"/>
          <c:tx>
            <c:v> Flusso C/Banca Fideuram</c:v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Graf!$A$5:$A$1500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Graf!$J$5:$J$1500</c:f>
              <c:numCache>
                <c:formatCode>General</c:formatCode>
                <c:ptCount val="1496"/>
                <c:pt idx="0">
                  <c:v>0</c:v>
                </c:pt>
                <c:pt idx="1">
                  <c:v>0</c:v>
                </c:pt>
              </c:numCache>
            </c:numRef>
          </c:yVal>
        </c:ser>
        <c:axId val="193735296"/>
        <c:axId val="193745664"/>
      </c:scatterChart>
      <c:valAx>
        <c:axId val="193735296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lang="it-IT" sz="800"/>
                </a:pPr>
                <a:r>
                  <a:rPr lang="it-IT" sz="800"/>
                  <a:t>Operazione</a:t>
                </a:r>
              </a:p>
            </c:rich>
          </c:tx>
          <c:layout>
            <c:manualLayout>
              <c:xMode val="edge"/>
              <c:yMode val="edge"/>
              <c:x val="0.48341179088818481"/>
              <c:y val="0.79023276228984896"/>
            </c:manualLayout>
          </c:layout>
        </c:title>
        <c:numFmt formatCode="General" sourceLinked="1"/>
        <c:tickLblPos val="low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lang="it-IT" sz="800"/>
            </a:pPr>
            <a:endParaRPr lang="en-US"/>
          </a:p>
        </c:txPr>
        <c:crossAx val="193745664"/>
        <c:crosses val="autoZero"/>
        <c:crossBetween val="midCat"/>
      </c:valAx>
      <c:valAx>
        <c:axId val="193745664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lang="it-IT" sz="1000"/>
                </a:pPr>
                <a:r>
                  <a:rPr lang="it-IT" sz="1000"/>
                  <a:t>Flusso</a:t>
                </a:r>
                <a:r>
                  <a:rPr lang="it-IT" sz="1000" baseline="0"/>
                  <a:t>  (€)</a:t>
                </a:r>
                <a:endParaRPr lang="it-IT" sz="1000"/>
              </a:p>
            </c:rich>
          </c:tx>
          <c:layout>
            <c:manualLayout>
              <c:xMode val="edge"/>
              <c:yMode val="edge"/>
              <c:x val="3.3267981475397692E-3"/>
              <c:y val="0.42124329467573113"/>
            </c:manualLayout>
          </c:layout>
        </c:title>
        <c:numFmt formatCode="#,##0" sourceLinked="0"/>
        <c:tickLblPos val="nextTo"/>
        <c:spPr>
          <a:ln w="12700">
            <a:solidFill>
              <a:sysClr val="windowText" lastClr="000000"/>
            </a:solidFill>
          </a:ln>
        </c:spPr>
        <c:txPr>
          <a:bodyPr/>
          <a:lstStyle/>
          <a:p>
            <a:pPr>
              <a:defRPr lang="it-IT" sz="800"/>
            </a:pPr>
            <a:endParaRPr lang="en-US"/>
          </a:p>
        </c:txPr>
        <c:crossAx val="1937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240904611015168"/>
          <c:y val="0.85525076878524953"/>
          <c:w val="0.68030966183062858"/>
          <c:h val="0.12062826647544712"/>
        </c:manualLayout>
      </c:layout>
      <c:txPr>
        <a:bodyPr/>
        <a:lstStyle/>
        <a:p>
          <a:pPr>
            <a:defRPr lang="it-IT" sz="800"/>
          </a:pPr>
          <a:endParaRPr lang="en-US"/>
        </a:p>
      </c:txPr>
    </c:legend>
    <c:plotVisOnly val="1"/>
  </c:chart>
  <c:txPr>
    <a:bodyPr/>
    <a:lstStyle/>
    <a:p>
      <a:pPr>
        <a:defRPr sz="1200">
          <a:latin typeface="Andalus" pitchFamily="2" charset="-78"/>
          <a:cs typeface="Andalus" pitchFamily="2" charset="-78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paperSize="9" orientation="landscape" horizontalDpi="300" verticalDpi="30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14</xdr:row>
      <xdr:rowOff>47625</xdr:rowOff>
    </xdr:from>
    <xdr:to>
      <xdr:col>1</xdr:col>
      <xdr:colOff>19050</xdr:colOff>
      <xdr:row>17</xdr:row>
      <xdr:rowOff>19050</xdr:rowOff>
    </xdr:to>
    <xdr:sp macro="[0]!AggiungiAlLibro" textlink="">
      <xdr:nvSpPr>
        <xdr:cNvPr id="15" name="Rettangolo 14"/>
        <xdr:cNvSpPr/>
      </xdr:nvSpPr>
      <xdr:spPr>
        <a:xfrm>
          <a:off x="276225" y="3514725"/>
          <a:ext cx="14478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1</xdr:col>
      <xdr:colOff>1047750</xdr:colOff>
      <xdr:row>15</xdr:row>
      <xdr:rowOff>171450</xdr:rowOff>
    </xdr:from>
    <xdr:to>
      <xdr:col>1</xdr:col>
      <xdr:colOff>1704975</xdr:colOff>
      <xdr:row>16</xdr:row>
      <xdr:rowOff>219075</xdr:rowOff>
    </xdr:to>
    <xdr:sp macro="[0]!agg" textlink="">
      <xdr:nvSpPr>
        <xdr:cNvPr id="16" name="Rettangolo arrotondato 15"/>
        <xdr:cNvSpPr/>
      </xdr:nvSpPr>
      <xdr:spPr>
        <a:xfrm>
          <a:off x="2752725" y="3886200"/>
          <a:ext cx="6572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1251459</xdr:colOff>
      <xdr:row>0</xdr:row>
      <xdr:rowOff>50660</xdr:rowOff>
    </xdr:from>
    <xdr:to>
      <xdr:col>8</xdr:col>
      <xdr:colOff>23784</xdr:colOff>
      <xdr:row>0</xdr:row>
      <xdr:rowOff>381860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51" y="50660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102075</xdr:colOff>
      <xdr:row>0</xdr:row>
      <xdr:rowOff>54826</xdr:rowOff>
    </xdr:from>
    <xdr:to>
      <xdr:col>9</xdr:col>
      <xdr:colOff>542149</xdr:colOff>
      <xdr:row>0</xdr:row>
      <xdr:rowOff>385053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40" y="54826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1251437</xdr:colOff>
      <xdr:row>0</xdr:row>
      <xdr:rowOff>50660</xdr:rowOff>
    </xdr:from>
    <xdr:to>
      <xdr:col>8</xdr:col>
      <xdr:colOff>23762</xdr:colOff>
      <xdr:row>0</xdr:row>
      <xdr:rowOff>381860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29" y="50660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102053</xdr:colOff>
      <xdr:row>0</xdr:row>
      <xdr:rowOff>54826</xdr:rowOff>
    </xdr:from>
    <xdr:to>
      <xdr:col>9</xdr:col>
      <xdr:colOff>542127</xdr:colOff>
      <xdr:row>0</xdr:row>
      <xdr:rowOff>385053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18" y="54826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1251424</xdr:colOff>
      <xdr:row>0</xdr:row>
      <xdr:rowOff>50660</xdr:rowOff>
    </xdr:from>
    <xdr:to>
      <xdr:col>8</xdr:col>
      <xdr:colOff>23749</xdr:colOff>
      <xdr:row>0</xdr:row>
      <xdr:rowOff>381860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6" y="50660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102040</xdr:colOff>
      <xdr:row>0</xdr:row>
      <xdr:rowOff>54826</xdr:rowOff>
    </xdr:from>
    <xdr:to>
      <xdr:col>9</xdr:col>
      <xdr:colOff>542114</xdr:colOff>
      <xdr:row>0</xdr:row>
      <xdr:rowOff>385053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5" y="54826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1251422</xdr:colOff>
      <xdr:row>0</xdr:row>
      <xdr:rowOff>50666</xdr:rowOff>
    </xdr:from>
    <xdr:to>
      <xdr:col>8</xdr:col>
      <xdr:colOff>23747</xdr:colOff>
      <xdr:row>0</xdr:row>
      <xdr:rowOff>381866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4" y="50666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102038</xdr:colOff>
      <xdr:row>0</xdr:row>
      <xdr:rowOff>54832</xdr:rowOff>
    </xdr:from>
    <xdr:to>
      <xdr:col>9</xdr:col>
      <xdr:colOff>542112</xdr:colOff>
      <xdr:row>0</xdr:row>
      <xdr:rowOff>385059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3" y="54832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1251419</xdr:colOff>
      <xdr:row>0</xdr:row>
      <xdr:rowOff>50664</xdr:rowOff>
    </xdr:from>
    <xdr:to>
      <xdr:col>8</xdr:col>
      <xdr:colOff>23744</xdr:colOff>
      <xdr:row>0</xdr:row>
      <xdr:rowOff>381864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1" y="50664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102035</xdr:colOff>
      <xdr:row>0</xdr:row>
      <xdr:rowOff>54830</xdr:rowOff>
    </xdr:from>
    <xdr:to>
      <xdr:col>9</xdr:col>
      <xdr:colOff>542109</xdr:colOff>
      <xdr:row>0</xdr:row>
      <xdr:rowOff>385057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0" y="54830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1251414</xdr:colOff>
      <xdr:row>0</xdr:row>
      <xdr:rowOff>50666</xdr:rowOff>
    </xdr:from>
    <xdr:to>
      <xdr:col>8</xdr:col>
      <xdr:colOff>23739</xdr:colOff>
      <xdr:row>0</xdr:row>
      <xdr:rowOff>381866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06" y="50666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102030</xdr:colOff>
      <xdr:row>0</xdr:row>
      <xdr:rowOff>54832</xdr:rowOff>
    </xdr:from>
    <xdr:to>
      <xdr:col>9</xdr:col>
      <xdr:colOff>542104</xdr:colOff>
      <xdr:row>0</xdr:row>
      <xdr:rowOff>385059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495" y="54832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1251417</xdr:colOff>
      <xdr:row>0</xdr:row>
      <xdr:rowOff>50665</xdr:rowOff>
    </xdr:from>
    <xdr:to>
      <xdr:col>8</xdr:col>
      <xdr:colOff>23742</xdr:colOff>
      <xdr:row>0</xdr:row>
      <xdr:rowOff>381865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09" y="50665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102033</xdr:colOff>
      <xdr:row>0</xdr:row>
      <xdr:rowOff>54831</xdr:rowOff>
    </xdr:from>
    <xdr:to>
      <xdr:col>9</xdr:col>
      <xdr:colOff>542107</xdr:colOff>
      <xdr:row>0</xdr:row>
      <xdr:rowOff>385058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498" y="54831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1251427</xdr:colOff>
      <xdr:row>0</xdr:row>
      <xdr:rowOff>50662</xdr:rowOff>
    </xdr:from>
    <xdr:to>
      <xdr:col>8</xdr:col>
      <xdr:colOff>23752</xdr:colOff>
      <xdr:row>0</xdr:row>
      <xdr:rowOff>381862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9" y="50662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102043</xdr:colOff>
      <xdr:row>0</xdr:row>
      <xdr:rowOff>54828</xdr:rowOff>
    </xdr:from>
    <xdr:to>
      <xdr:col>9</xdr:col>
      <xdr:colOff>542117</xdr:colOff>
      <xdr:row>0</xdr:row>
      <xdr:rowOff>385055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8" y="54828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1251422</xdr:colOff>
      <xdr:row>0</xdr:row>
      <xdr:rowOff>50666</xdr:rowOff>
    </xdr:from>
    <xdr:to>
      <xdr:col>8</xdr:col>
      <xdr:colOff>23747</xdr:colOff>
      <xdr:row>0</xdr:row>
      <xdr:rowOff>381866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4" y="50666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102038</xdr:colOff>
      <xdr:row>0</xdr:row>
      <xdr:rowOff>54832</xdr:rowOff>
    </xdr:from>
    <xdr:to>
      <xdr:col>9</xdr:col>
      <xdr:colOff>542112</xdr:colOff>
      <xdr:row>0</xdr:row>
      <xdr:rowOff>385059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3" y="54832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1251429</xdr:colOff>
      <xdr:row>0</xdr:row>
      <xdr:rowOff>50667</xdr:rowOff>
    </xdr:from>
    <xdr:to>
      <xdr:col>8</xdr:col>
      <xdr:colOff>23754</xdr:colOff>
      <xdr:row>0</xdr:row>
      <xdr:rowOff>381867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21" y="50667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102045</xdr:colOff>
      <xdr:row>0</xdr:row>
      <xdr:rowOff>54833</xdr:rowOff>
    </xdr:from>
    <xdr:to>
      <xdr:col>9</xdr:col>
      <xdr:colOff>542119</xdr:colOff>
      <xdr:row>0</xdr:row>
      <xdr:rowOff>385060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10" y="54833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1251421</xdr:colOff>
      <xdr:row>0</xdr:row>
      <xdr:rowOff>50668</xdr:rowOff>
    </xdr:from>
    <xdr:to>
      <xdr:col>8</xdr:col>
      <xdr:colOff>23746</xdr:colOff>
      <xdr:row>0</xdr:row>
      <xdr:rowOff>381868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3" y="50668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102037</xdr:colOff>
      <xdr:row>0</xdr:row>
      <xdr:rowOff>54834</xdr:rowOff>
    </xdr:from>
    <xdr:to>
      <xdr:col>9</xdr:col>
      <xdr:colOff>542111</xdr:colOff>
      <xdr:row>0</xdr:row>
      <xdr:rowOff>385061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2" y="54834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1251420</xdr:colOff>
      <xdr:row>0</xdr:row>
      <xdr:rowOff>50666</xdr:rowOff>
    </xdr:from>
    <xdr:to>
      <xdr:col>8</xdr:col>
      <xdr:colOff>23745</xdr:colOff>
      <xdr:row>0</xdr:row>
      <xdr:rowOff>381866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2" y="50666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102036</xdr:colOff>
      <xdr:row>0</xdr:row>
      <xdr:rowOff>54832</xdr:rowOff>
    </xdr:from>
    <xdr:to>
      <xdr:col>9</xdr:col>
      <xdr:colOff>542110</xdr:colOff>
      <xdr:row>0</xdr:row>
      <xdr:rowOff>385059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1" y="54832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1251417</xdr:colOff>
      <xdr:row>0</xdr:row>
      <xdr:rowOff>50664</xdr:rowOff>
    </xdr:from>
    <xdr:to>
      <xdr:col>8</xdr:col>
      <xdr:colOff>23742</xdr:colOff>
      <xdr:row>0</xdr:row>
      <xdr:rowOff>381864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09" y="50664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102033</xdr:colOff>
      <xdr:row>0</xdr:row>
      <xdr:rowOff>54830</xdr:rowOff>
    </xdr:from>
    <xdr:to>
      <xdr:col>9</xdr:col>
      <xdr:colOff>542107</xdr:colOff>
      <xdr:row>0</xdr:row>
      <xdr:rowOff>385057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498" y="54830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1251425</xdr:colOff>
      <xdr:row>0</xdr:row>
      <xdr:rowOff>50664</xdr:rowOff>
    </xdr:from>
    <xdr:to>
      <xdr:col>8</xdr:col>
      <xdr:colOff>23750</xdr:colOff>
      <xdr:row>0</xdr:row>
      <xdr:rowOff>381864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7" y="50664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102041</xdr:colOff>
      <xdr:row>0</xdr:row>
      <xdr:rowOff>54830</xdr:rowOff>
    </xdr:from>
    <xdr:to>
      <xdr:col>9</xdr:col>
      <xdr:colOff>542115</xdr:colOff>
      <xdr:row>0</xdr:row>
      <xdr:rowOff>385057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6" y="54830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1251425</xdr:colOff>
      <xdr:row>0</xdr:row>
      <xdr:rowOff>50666</xdr:rowOff>
    </xdr:from>
    <xdr:to>
      <xdr:col>8</xdr:col>
      <xdr:colOff>23750</xdr:colOff>
      <xdr:row>0</xdr:row>
      <xdr:rowOff>381866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89417" y="50666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102041</xdr:colOff>
      <xdr:row>0</xdr:row>
      <xdr:rowOff>54832</xdr:rowOff>
    </xdr:from>
    <xdr:to>
      <xdr:col>9</xdr:col>
      <xdr:colOff>542115</xdr:colOff>
      <xdr:row>0</xdr:row>
      <xdr:rowOff>385059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52506" y="54832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1415143</xdr:colOff>
      <xdr:row>0</xdr:row>
      <xdr:rowOff>72572</xdr:rowOff>
    </xdr:from>
    <xdr:to>
      <xdr:col>4</xdr:col>
      <xdr:colOff>1854343</xdr:colOff>
      <xdr:row>0</xdr:row>
      <xdr:rowOff>403772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35500" y="72572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5</xdr:col>
      <xdr:colOff>82303</xdr:colOff>
      <xdr:row>0</xdr:row>
      <xdr:rowOff>76738</xdr:rowOff>
    </xdr:from>
    <xdr:to>
      <xdr:col>5</xdr:col>
      <xdr:colOff>522377</xdr:colOff>
      <xdr:row>0</xdr:row>
      <xdr:rowOff>406965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98589" y="76738"/>
          <a:ext cx="440074" cy="330227"/>
        </a:xfrm>
        <a:prstGeom prst="rect">
          <a:avLst/>
        </a:prstGeom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298450</xdr:colOff>
      <xdr:row>0</xdr:row>
      <xdr:rowOff>50800</xdr:rowOff>
    </xdr:from>
    <xdr:to>
      <xdr:col>3</xdr:col>
      <xdr:colOff>737650</xdr:colOff>
      <xdr:row>0</xdr:row>
      <xdr:rowOff>382000</xdr:rowOff>
    </xdr:to>
    <xdr:pic macro="[0]!Stampa_conto">
      <xdr:nvPicPr>
        <xdr:cNvPr id="3" name="Immagine 2" descr="1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43300" y="50800"/>
          <a:ext cx="439200" cy="3312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105889</xdr:colOff>
      <xdr:row>0</xdr:row>
      <xdr:rowOff>54966</xdr:rowOff>
    </xdr:from>
    <xdr:to>
      <xdr:col>4</xdr:col>
      <xdr:colOff>545963</xdr:colOff>
      <xdr:row>0</xdr:row>
      <xdr:rowOff>385193</xdr:rowOff>
    </xdr:to>
    <xdr:pic macro="[0]!Vai_menu_princ">
      <xdr:nvPicPr>
        <xdr:cNvPr id="4" name="Immagine 3" descr="Clipart%2006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06389" y="54966"/>
          <a:ext cx="440074" cy="330227"/>
        </a:xfrm>
        <a:prstGeom prst="rect">
          <a:avLst/>
        </a:prstGeom>
      </xdr:spPr>
    </xdr:pic>
    <xdr:clientData fPrintsWithSheet="0"/>
  </xdr:twoCellAnchor>
  <xdr:twoCellAnchor>
    <xdr:from>
      <xdr:col>0</xdr:col>
      <xdr:colOff>31750</xdr:colOff>
      <xdr:row>23</xdr:row>
      <xdr:rowOff>114300</xdr:rowOff>
    </xdr:from>
    <xdr:to>
      <xdr:col>4</xdr:col>
      <xdr:colOff>749300</xdr:colOff>
      <xdr:row>48</xdr:row>
      <xdr:rowOff>63500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2"/>
  <dimension ref="A1:AA17"/>
  <sheetViews>
    <sheetView workbookViewId="0">
      <selection activeCell="B8" sqref="B8"/>
    </sheetView>
  </sheetViews>
  <sheetFormatPr defaultColWidth="6.7265625" defaultRowHeight="20.149999999999999" customHeight="1"/>
  <cols>
    <col min="1" max="1" width="25.54296875" style="119" customWidth="1"/>
    <col min="2" max="2" width="43.54296875" style="117" customWidth="1"/>
    <col min="3" max="3" width="8.54296875" style="117" bestFit="1" customWidth="1"/>
    <col min="4" max="4" width="6.7265625" style="135"/>
    <col min="5" max="5" width="20.1796875" style="30" customWidth="1"/>
    <col min="6" max="6" width="6.7265625" style="117"/>
    <col min="7" max="8" width="16.1796875" style="30" customWidth="1"/>
    <col min="9" max="13" width="6.7265625" style="117"/>
    <col min="14" max="14" width="8.54296875" style="117" bestFit="1" customWidth="1"/>
    <col min="15" max="26" width="6.7265625" style="117"/>
    <col min="27" max="27" width="6.7265625" style="31"/>
    <col min="28" max="16384" width="6.7265625" style="117"/>
  </cols>
  <sheetData>
    <row r="1" spans="1:8" ht="20.149999999999999" customHeight="1">
      <c r="A1" s="121" t="s">
        <v>59</v>
      </c>
      <c r="B1" s="122">
        <f>COUNT('Libro Giornale'!F3:F8)+1</f>
        <v>2</v>
      </c>
      <c r="D1" s="136" t="s">
        <v>66</v>
      </c>
      <c r="E1" s="137" t="s">
        <v>67</v>
      </c>
      <c r="G1" s="30" t="s">
        <v>68</v>
      </c>
      <c r="H1" s="30" t="s">
        <v>69</v>
      </c>
    </row>
    <row r="2" spans="1:8" ht="20.149999999999999" customHeight="1">
      <c r="A2" s="121" t="s">
        <v>52</v>
      </c>
      <c r="B2" s="123" t="s">
        <v>71</v>
      </c>
      <c r="C2" s="31"/>
      <c r="D2" s="136">
        <v>1</v>
      </c>
      <c r="E2" s="137">
        <f>COUNT('1'!E2:E5,'1'!J2:J5)</f>
        <v>1</v>
      </c>
      <c r="G2" s="30">
        <f>IF(D2=$B$9,E2,0)</f>
        <v>1</v>
      </c>
      <c r="H2" s="30">
        <f>IF(D2=$B$10,E2,0)</f>
        <v>0</v>
      </c>
    </row>
    <row r="3" spans="1:8" ht="20.149999999999999" customHeight="1">
      <c r="A3" s="121" t="s">
        <v>53</v>
      </c>
      <c r="B3" s="124" t="s">
        <v>72</v>
      </c>
      <c r="D3" s="136">
        <f>D2+1</f>
        <v>2</v>
      </c>
      <c r="E3" s="137">
        <f>COUNT('2'!E2:E5,'2'!J2:J5)</f>
        <v>1</v>
      </c>
      <c r="G3" s="30">
        <f t="shared" ref="G3:G16" si="0">IF(D3=$B$9,E3,0)</f>
        <v>0</v>
      </c>
      <c r="H3" s="30">
        <f>IF(D3=$B$10,E3,0)</f>
        <v>1</v>
      </c>
    </row>
    <row r="4" spans="1:8" ht="20.149999999999999" customHeight="1">
      <c r="A4" s="121" t="s">
        <v>54</v>
      </c>
      <c r="B4" s="124">
        <v>2012</v>
      </c>
      <c r="D4" s="136">
        <f t="shared" ref="D4:D16" si="1">D3+1</f>
        <v>3</v>
      </c>
      <c r="E4" s="137">
        <f>COUNT('3'!E2:E4,'3'!J2:J4)</f>
        <v>0</v>
      </c>
      <c r="G4" s="30">
        <f t="shared" si="0"/>
        <v>0</v>
      </c>
      <c r="H4" s="30">
        <f t="shared" ref="H4:H16" si="2">IF(D4=$B$10,E4,0)</f>
        <v>0</v>
      </c>
    </row>
    <row r="5" spans="1:8" ht="20.149999999999999" customHeight="1">
      <c r="A5" s="121" t="s">
        <v>55</v>
      </c>
      <c r="B5" s="124" t="s">
        <v>73</v>
      </c>
      <c r="D5" s="136">
        <f t="shared" si="1"/>
        <v>4</v>
      </c>
      <c r="E5" s="137">
        <f>COUNT('4'!E2:E4,'4'!J2:J4)</f>
        <v>0</v>
      </c>
      <c r="G5" s="30">
        <f t="shared" si="0"/>
        <v>0</v>
      </c>
      <c r="H5" s="30">
        <f t="shared" si="2"/>
        <v>0</v>
      </c>
    </row>
    <row r="6" spans="1:8" ht="20.149999999999999" customHeight="1">
      <c r="A6" s="121" t="s">
        <v>56</v>
      </c>
      <c r="B6" s="124" t="s">
        <v>6</v>
      </c>
      <c r="D6" s="136">
        <f t="shared" si="1"/>
        <v>5</v>
      </c>
      <c r="E6" s="137">
        <f>COUNT('5'!E2:E4,'5'!J2:J4)</f>
        <v>0</v>
      </c>
      <c r="G6" s="30">
        <f t="shared" si="0"/>
        <v>0</v>
      </c>
      <c r="H6" s="30">
        <f t="shared" si="2"/>
        <v>0</v>
      </c>
    </row>
    <row r="7" spans="1:8" ht="20.149999999999999" customHeight="1">
      <c r="A7" s="121" t="s">
        <v>57</v>
      </c>
      <c r="B7" s="124" t="s">
        <v>70</v>
      </c>
      <c r="D7" s="136">
        <f t="shared" si="1"/>
        <v>6</v>
      </c>
      <c r="E7" s="137">
        <f>COUNT('6'!E2:E4,'6'!J2:J4)</f>
        <v>0</v>
      </c>
      <c r="G7" s="30">
        <f t="shared" si="0"/>
        <v>0</v>
      </c>
      <c r="H7" s="30">
        <f t="shared" si="2"/>
        <v>0</v>
      </c>
    </row>
    <row r="8" spans="1:8" ht="20.149999999999999" customHeight="1">
      <c r="A8" s="121" t="s">
        <v>58</v>
      </c>
      <c r="B8" s="124">
        <v>-100</v>
      </c>
      <c r="D8" s="136">
        <f t="shared" si="1"/>
        <v>7</v>
      </c>
      <c r="E8" s="137">
        <f>COUNT('7'!E2:E4,'7'!J2:J4)</f>
        <v>0</v>
      </c>
      <c r="G8" s="30">
        <f t="shared" si="0"/>
        <v>0</v>
      </c>
      <c r="H8" s="30">
        <f t="shared" si="2"/>
        <v>0</v>
      </c>
    </row>
    <row r="9" spans="1:8" ht="20.149999999999999" customHeight="1">
      <c r="A9" s="121" t="s">
        <v>64</v>
      </c>
      <c r="B9" s="122">
        <f>MID(B6,1,2)*1</f>
        <v>1</v>
      </c>
      <c r="D9" s="136">
        <f t="shared" si="1"/>
        <v>8</v>
      </c>
      <c r="E9" s="137">
        <f>COUNT('8'!E2:E4,'8'!J2:J4)</f>
        <v>0</v>
      </c>
      <c r="G9" s="30">
        <f t="shared" si="0"/>
        <v>0</v>
      </c>
      <c r="H9" s="30">
        <f t="shared" si="2"/>
        <v>0</v>
      </c>
    </row>
    <row r="10" spans="1:8" ht="20.149999999999999" customHeight="1">
      <c r="A10" s="121" t="s">
        <v>65</v>
      </c>
      <c r="B10" s="122">
        <f>MID(B7,1,2)*1</f>
        <v>2</v>
      </c>
      <c r="D10" s="136">
        <f t="shared" si="1"/>
        <v>9</v>
      </c>
      <c r="E10" s="137">
        <f>COUNT('9'!E2:E4,'9'!J2:J4)</f>
        <v>0</v>
      </c>
      <c r="G10" s="30">
        <f t="shared" si="0"/>
        <v>0</v>
      </c>
      <c r="H10" s="30">
        <f t="shared" si="2"/>
        <v>0</v>
      </c>
    </row>
    <row r="11" spans="1:8" ht="20.149999999999999" customHeight="1">
      <c r="D11" s="136">
        <f t="shared" si="1"/>
        <v>10</v>
      </c>
      <c r="E11" s="137">
        <f>COUNT('10'!E2:E4,'10'!J2:J4)</f>
        <v>0</v>
      </c>
      <c r="G11" s="30">
        <f t="shared" si="0"/>
        <v>0</v>
      </c>
      <c r="H11" s="30">
        <f t="shared" si="2"/>
        <v>0</v>
      </c>
    </row>
    <row r="12" spans="1:8" ht="20.149999999999999" customHeight="1">
      <c r="A12" s="120" t="s">
        <v>62</v>
      </c>
      <c r="B12" s="118" t="str">
        <f>CONCATENATE("No. ",B1,"  -  ",B2," ",B3," ",B4)</f>
        <v>No. 2  -  05 Mag 2012</v>
      </c>
      <c r="D12" s="136">
        <f t="shared" si="1"/>
        <v>11</v>
      </c>
      <c r="E12" s="137">
        <f>COUNT('11'!E2:E4,'11'!J2:J4)</f>
        <v>0</v>
      </c>
      <c r="G12" s="30">
        <f t="shared" si="0"/>
        <v>0</v>
      </c>
      <c r="H12" s="30">
        <f t="shared" si="2"/>
        <v>0</v>
      </c>
    </row>
    <row r="13" spans="1:8" ht="20.149999999999999" customHeight="1">
      <c r="A13" s="120" t="s">
        <v>63</v>
      </c>
      <c r="B13" s="118" t="str">
        <f>CONCATENATE(B2," ",B3)</f>
        <v>05 Mag</v>
      </c>
      <c r="D13" s="136">
        <f t="shared" si="1"/>
        <v>12</v>
      </c>
      <c r="E13" s="137">
        <f>COUNT('12'!E2:E4,'12'!J2:J4)</f>
        <v>0</v>
      </c>
      <c r="G13" s="30">
        <f t="shared" si="0"/>
        <v>0</v>
      </c>
      <c r="H13" s="30">
        <f t="shared" si="2"/>
        <v>0</v>
      </c>
    </row>
    <row r="14" spans="1:8" ht="20.149999999999999" customHeight="1">
      <c r="D14" s="136">
        <f t="shared" si="1"/>
        <v>13</v>
      </c>
      <c r="E14" s="137">
        <f>COUNT('13'!E2:E4,'13'!J2:J4)</f>
        <v>0</v>
      </c>
      <c r="G14" s="30">
        <f t="shared" si="0"/>
        <v>0</v>
      </c>
      <c r="H14" s="30">
        <f t="shared" si="2"/>
        <v>0</v>
      </c>
    </row>
    <row r="15" spans="1:8" ht="20.149999999999999" customHeight="1">
      <c r="D15" s="136">
        <f t="shared" si="1"/>
        <v>14</v>
      </c>
      <c r="E15" s="137">
        <f>COUNT('14'!E2:E4,'14'!J2:J4)</f>
        <v>0</v>
      </c>
      <c r="G15" s="30">
        <f t="shared" si="0"/>
        <v>0</v>
      </c>
      <c r="H15" s="30">
        <f t="shared" si="2"/>
        <v>0</v>
      </c>
    </row>
    <row r="16" spans="1:8" ht="20.149999999999999" customHeight="1">
      <c r="D16" s="136">
        <f t="shared" si="1"/>
        <v>15</v>
      </c>
      <c r="E16" s="137">
        <f>COUNT('15'!E2:E4,'15'!J2:J4)</f>
        <v>0</v>
      </c>
      <c r="G16" s="30">
        <f t="shared" si="0"/>
        <v>0</v>
      </c>
      <c r="H16" s="30">
        <f t="shared" si="2"/>
        <v>0</v>
      </c>
    </row>
    <row r="17" spans="7:8" ht="20.149999999999999" customHeight="1">
      <c r="G17" s="135">
        <f>SUM(G2:G16)</f>
        <v>1</v>
      </c>
      <c r="H17" s="135">
        <f>SUM(H2:H16)</f>
        <v>1</v>
      </c>
    </row>
  </sheetData>
  <sheetProtection selectLockedCells="1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4">
    <pageSetUpPr autoPageBreaks="0"/>
  </sheetPr>
  <dimension ref="A1:J13"/>
  <sheetViews>
    <sheetView showGridLines="0" topLeftCell="A4" zoomScaleSheetLayoutView="160" workbookViewId="0">
      <selection activeCell="A4" sqref="A4:J4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48" t="s">
        <v>60</v>
      </c>
      <c r="B1" s="149"/>
      <c r="C1" s="150"/>
      <c r="D1" s="150"/>
      <c r="E1" s="150"/>
      <c r="F1" s="150"/>
      <c r="G1" s="150"/>
      <c r="H1" s="150"/>
      <c r="I1" s="150"/>
      <c r="J1" s="151"/>
    </row>
    <row r="2" spans="1:10" s="1" customFormat="1" ht="38.25" customHeight="1">
      <c r="A2" s="32" t="s">
        <v>0</v>
      </c>
      <c r="B2" s="33" t="s">
        <v>1</v>
      </c>
      <c r="C2" s="34" t="s">
        <v>2</v>
      </c>
      <c r="D2" s="35"/>
      <c r="E2" s="36" t="s">
        <v>3</v>
      </c>
      <c r="F2" s="33" t="s">
        <v>0</v>
      </c>
      <c r="G2" s="33" t="s">
        <v>1</v>
      </c>
      <c r="H2" s="34" t="s">
        <v>2</v>
      </c>
      <c r="I2" s="35"/>
      <c r="J2" s="37" t="s">
        <v>3</v>
      </c>
    </row>
    <row r="3" spans="1:10" s="1" customFormat="1" ht="6.75" customHeight="1">
      <c r="A3" s="38"/>
      <c r="B3" s="39"/>
      <c r="C3" s="40"/>
      <c r="D3" s="41"/>
      <c r="E3" s="42"/>
      <c r="F3" s="39"/>
      <c r="G3" s="39"/>
      <c r="H3" s="40"/>
      <c r="I3" s="41"/>
      <c r="J3" s="43"/>
    </row>
    <row r="4" spans="1:10" s="58" customFormat="1" ht="31.5" customHeight="1">
      <c r="A4" s="53" t="str">
        <f>'Nuova voce'!B13</f>
        <v>05 Mag</v>
      </c>
      <c r="B4" s="116">
        <f>'Nuova voce'!B1</f>
        <v>2</v>
      </c>
      <c r="C4" s="55" t="str">
        <f>'Nuova voce'!B5</f>
        <v>Quinta causale</v>
      </c>
      <c r="D4" s="56"/>
      <c r="E4" s="57">
        <f>ABS('Nuova voce'!B8)</f>
        <v>100</v>
      </c>
      <c r="F4" s="54"/>
      <c r="G4" s="54"/>
      <c r="H4" s="55"/>
      <c r="I4" s="56"/>
      <c r="J4" s="13"/>
    </row>
    <row r="5" spans="1:10" ht="6.75" customHeight="1" thickBot="1">
      <c r="A5" s="44"/>
      <c r="B5" s="45"/>
      <c r="C5" s="46"/>
      <c r="D5" s="47"/>
      <c r="E5" s="48"/>
      <c r="F5" s="45"/>
      <c r="G5" s="45"/>
      <c r="H5" s="46"/>
      <c r="I5" s="47"/>
      <c r="J5" s="49"/>
    </row>
    <row r="6" spans="1:10" s="2" customFormat="1" ht="30" customHeight="1" thickTop="1" thickBot="1">
      <c r="A6" s="152" t="s">
        <v>4</v>
      </c>
      <c r="B6" s="153"/>
      <c r="C6" s="153"/>
      <c r="D6" s="50"/>
      <c r="E6" s="51">
        <f>SUM(E4:E5)</f>
        <v>100</v>
      </c>
      <c r="F6" s="154" t="s">
        <v>5</v>
      </c>
      <c r="G6" s="153"/>
      <c r="H6" s="153"/>
      <c r="I6" s="50"/>
      <c r="J6" s="52">
        <f>SUM(J4:J5)</f>
        <v>0</v>
      </c>
    </row>
    <row r="7" spans="1:10" ht="15" thickBot="1"/>
    <row r="8" spans="1:10" s="18" customFormat="1" ht="34.5" customHeight="1" thickBot="1">
      <c r="A8" s="148" t="s">
        <v>61</v>
      </c>
      <c r="B8" s="149"/>
      <c r="C8" s="150"/>
      <c r="D8" s="150"/>
      <c r="E8" s="150"/>
      <c r="F8" s="150"/>
      <c r="G8" s="150"/>
      <c r="H8" s="150"/>
      <c r="I8" s="150"/>
      <c r="J8" s="151"/>
    </row>
    <row r="9" spans="1:10" s="1" customFormat="1" ht="38.25" customHeight="1">
      <c r="A9" s="32" t="s">
        <v>0</v>
      </c>
      <c r="B9" s="33" t="s">
        <v>1</v>
      </c>
      <c r="C9" s="34" t="s">
        <v>2</v>
      </c>
      <c r="D9" s="35"/>
      <c r="E9" s="36" t="s">
        <v>3</v>
      </c>
      <c r="F9" s="33" t="s">
        <v>0</v>
      </c>
      <c r="G9" s="33" t="s">
        <v>1</v>
      </c>
      <c r="H9" s="34" t="s">
        <v>2</v>
      </c>
      <c r="I9" s="35"/>
      <c r="J9" s="37" t="s">
        <v>3</v>
      </c>
    </row>
    <row r="10" spans="1:10" s="1" customFormat="1" ht="6.75" customHeight="1">
      <c r="A10" s="38"/>
      <c r="B10" s="39"/>
      <c r="C10" s="40"/>
      <c r="D10" s="41"/>
      <c r="E10" s="42"/>
      <c r="F10" s="39"/>
      <c r="G10" s="39"/>
      <c r="H10" s="40"/>
      <c r="I10" s="41"/>
      <c r="J10" s="43"/>
    </row>
    <row r="11" spans="1:10" s="58" customFormat="1" ht="31.5" customHeight="1">
      <c r="A11" s="53"/>
      <c r="B11" s="54"/>
      <c r="C11" s="55"/>
      <c r="D11" s="56"/>
      <c r="E11" s="57"/>
      <c r="F11" s="54" t="str">
        <f>A4</f>
        <v>05 Mag</v>
      </c>
      <c r="G11" s="116">
        <f>B4</f>
        <v>2</v>
      </c>
      <c r="H11" s="55" t="str">
        <f>C4</f>
        <v>Quinta causale</v>
      </c>
      <c r="I11" s="56"/>
      <c r="J11" s="13">
        <f>E4</f>
        <v>100</v>
      </c>
    </row>
    <row r="12" spans="1:10" ht="6.75" customHeight="1" thickBot="1">
      <c r="A12" s="44"/>
      <c r="B12" s="45"/>
      <c r="C12" s="46"/>
      <c r="D12" s="47"/>
      <c r="E12" s="48"/>
      <c r="F12" s="45"/>
      <c r="G12" s="45"/>
      <c r="H12" s="46"/>
      <c r="I12" s="47"/>
      <c r="J12" s="49"/>
    </row>
    <row r="13" spans="1:10" s="2" customFormat="1" ht="30" customHeight="1" thickTop="1" thickBot="1">
      <c r="A13" s="152" t="s">
        <v>4</v>
      </c>
      <c r="B13" s="153"/>
      <c r="C13" s="153"/>
      <c r="D13" s="50"/>
      <c r="E13" s="51">
        <f>SUM(E11:E12)</f>
        <v>0</v>
      </c>
      <c r="F13" s="154" t="s">
        <v>5</v>
      </c>
      <c r="G13" s="153"/>
      <c r="H13" s="153"/>
      <c r="I13" s="50"/>
      <c r="J13" s="52">
        <f>SUM(J11:J12)</f>
        <v>100</v>
      </c>
    </row>
  </sheetData>
  <customSheetViews>
    <customSheetView guid="{C7DD41FF-C2B2-4E96-9072-66917C2E111C}">
      <pageMargins left="0.7" right="0.7" top="0.75" bottom="0.75" header="0.3" footer="0.3"/>
    </customSheetView>
  </customSheetViews>
  <mergeCells count="6">
    <mergeCell ref="A1:J1"/>
    <mergeCell ref="A6:C6"/>
    <mergeCell ref="F6:H6"/>
    <mergeCell ref="A8:J8"/>
    <mergeCell ref="A13:C13"/>
    <mergeCell ref="F13:H13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20">
    <pageSetUpPr autoPageBreaks="0"/>
  </sheetPr>
  <dimension ref="A1:F259"/>
  <sheetViews>
    <sheetView showGridLines="0" topLeftCell="C5" zoomScale="150" zoomScaleNormal="150" zoomScaleSheetLayoutView="160" workbookViewId="0">
      <selection activeCell="C5" sqref="A5:XFD7"/>
    </sheetView>
  </sheetViews>
  <sheetFormatPr defaultColWidth="9.1796875" defaultRowHeight="11.5"/>
  <cols>
    <col min="1" max="2" width="7.453125" style="65" customWidth="1"/>
    <col min="3" max="3" width="28.453125" style="65" customWidth="1"/>
    <col min="4" max="4" width="5" style="65" customWidth="1"/>
    <col min="5" max="5" width="28.453125" style="133" customWidth="1"/>
    <col min="6" max="6" width="10.54296875" style="134" customWidth="1"/>
    <col min="7" max="16384" width="9.1796875" style="65"/>
  </cols>
  <sheetData>
    <row r="1" spans="1:6" ht="37.5" customHeight="1" thickBot="1">
      <c r="A1" s="158" t="s">
        <v>22</v>
      </c>
      <c r="B1" s="159"/>
      <c r="C1" s="159" t="s">
        <v>23</v>
      </c>
      <c r="D1" s="159"/>
      <c r="E1" s="159"/>
      <c r="F1" s="160" t="s">
        <v>24</v>
      </c>
    </row>
    <row r="2" spans="1:6" s="111" customFormat="1" ht="25.5" customHeight="1" thickBot="1">
      <c r="A2" s="125"/>
      <c r="B2" s="126"/>
      <c r="C2" s="126"/>
      <c r="D2" s="126"/>
      <c r="E2" s="127"/>
      <c r="F2" s="128"/>
    </row>
    <row r="3" spans="1:6" s="131" customFormat="1" ht="28.5" customHeight="1">
      <c r="A3" s="161" t="s">
        <v>22</v>
      </c>
      <c r="B3" s="162"/>
      <c r="C3" s="162" t="s">
        <v>23</v>
      </c>
      <c r="D3" s="163"/>
      <c r="E3" s="163"/>
      <c r="F3" s="165" t="s">
        <v>24</v>
      </c>
    </row>
    <row r="4" spans="1:6" ht="13.5" customHeight="1">
      <c r="A4" s="129" t="s">
        <v>25</v>
      </c>
      <c r="B4" s="130" t="s">
        <v>26</v>
      </c>
      <c r="C4" s="164"/>
      <c r="D4" s="164"/>
      <c r="E4" s="164"/>
      <c r="F4" s="166"/>
    </row>
    <row r="5" spans="1:6" ht="12" customHeight="1">
      <c r="A5" s="167">
        <f>'Nuova voce'!B9</f>
        <v>1</v>
      </c>
      <c r="B5" s="170">
        <f>'Nuova voce'!B10</f>
        <v>2</v>
      </c>
      <c r="C5" s="108" t="str">
        <f>'Nuova voce'!B12</f>
        <v>No. 2  -  05 Mag 2012</v>
      </c>
      <c r="D5" s="73"/>
      <c r="E5" s="74"/>
      <c r="F5" s="173">
        <f>ABS(uses!E4)</f>
        <v>100</v>
      </c>
    </row>
    <row r="6" spans="1:6" ht="12" customHeight="1">
      <c r="A6" s="168"/>
      <c r="B6" s="171"/>
      <c r="C6" s="114" t="str">
        <f>MID('Nuova voce'!B6,5,20)</f>
        <v>C/Cassa</v>
      </c>
      <c r="D6" s="107" t="s">
        <v>27</v>
      </c>
      <c r="E6" s="115" t="str">
        <f>MID('Nuova voce'!B7,5,20)</f>
        <v>C/Banca CaRiCesena</v>
      </c>
      <c r="F6" s="173"/>
    </row>
    <row r="7" spans="1:6" ht="14.25" customHeight="1">
      <c r="A7" s="169"/>
      <c r="B7" s="172"/>
      <c r="C7" s="175" t="str">
        <f>'Nuova voce'!B5</f>
        <v>Quinta causale</v>
      </c>
      <c r="D7" s="176"/>
      <c r="E7" s="177"/>
      <c r="F7" s="174"/>
    </row>
    <row r="8" spans="1:6" ht="12" customHeight="1">
      <c r="A8" s="155"/>
      <c r="B8" s="155"/>
      <c r="C8" s="113"/>
      <c r="D8" s="63"/>
      <c r="E8" s="64"/>
      <c r="F8" s="156"/>
    </row>
    <row r="9" spans="1:6" ht="12" customHeight="1">
      <c r="A9" s="155"/>
      <c r="B9" s="155"/>
      <c r="C9" s="113"/>
      <c r="D9" s="111"/>
      <c r="E9" s="113"/>
      <c r="F9" s="156"/>
    </row>
    <row r="10" spans="1:6" ht="12" customHeight="1">
      <c r="A10" s="155"/>
      <c r="B10" s="155"/>
      <c r="C10" s="157"/>
      <c r="D10" s="157"/>
      <c r="E10" s="157"/>
      <c r="F10" s="156"/>
    </row>
    <row r="11" spans="1:6" s="72" customFormat="1" ht="12" customHeight="1">
      <c r="A11" s="68"/>
      <c r="B11" s="68"/>
      <c r="C11" s="68"/>
      <c r="D11" s="70"/>
      <c r="E11" s="71"/>
      <c r="F11" s="69"/>
    </row>
    <row r="12" spans="1:6" s="72" customFormat="1" ht="12" customHeight="1">
      <c r="A12" s="68"/>
      <c r="B12" s="68"/>
      <c r="C12" s="68"/>
      <c r="D12" s="68"/>
      <c r="E12" s="68"/>
      <c r="F12" s="69"/>
    </row>
    <row r="13" spans="1:6" s="72" customFormat="1" ht="12" customHeight="1">
      <c r="A13" s="68"/>
      <c r="B13" s="68"/>
      <c r="C13" s="68"/>
      <c r="D13" s="68"/>
      <c r="E13" s="68"/>
      <c r="F13" s="69"/>
    </row>
    <row r="14" spans="1:6" s="72" customFormat="1" ht="12" customHeight="1">
      <c r="A14" s="68"/>
      <c r="B14" s="68"/>
      <c r="C14" s="68"/>
      <c r="D14" s="70"/>
      <c r="E14" s="71"/>
      <c r="F14" s="69"/>
    </row>
    <row r="15" spans="1:6" s="72" customFormat="1" ht="12" customHeight="1">
      <c r="A15" s="68"/>
      <c r="B15" s="68"/>
      <c r="C15" s="68"/>
      <c r="D15" s="68"/>
      <c r="E15" s="68"/>
      <c r="F15" s="69"/>
    </row>
    <row r="16" spans="1:6" s="72" customFormat="1" ht="12" customHeight="1">
      <c r="A16" s="68"/>
      <c r="B16" s="68"/>
      <c r="C16" s="68"/>
      <c r="D16" s="68"/>
      <c r="E16" s="68"/>
      <c r="F16" s="69"/>
    </row>
    <row r="17" spans="1:6" s="72" customFormat="1" ht="12" customHeight="1">
      <c r="A17" s="68"/>
      <c r="B17" s="68"/>
      <c r="C17" s="68"/>
      <c r="D17" s="70"/>
      <c r="E17" s="71"/>
      <c r="F17" s="69"/>
    </row>
    <row r="18" spans="1:6" s="72" customFormat="1" ht="12" customHeight="1">
      <c r="A18" s="68"/>
      <c r="B18" s="68"/>
      <c r="C18" s="68"/>
      <c r="D18" s="68"/>
      <c r="E18" s="68"/>
      <c r="F18" s="69"/>
    </row>
    <row r="19" spans="1:6" s="72" customFormat="1" ht="12" customHeight="1">
      <c r="A19" s="68"/>
      <c r="B19" s="68"/>
      <c r="C19" s="68"/>
      <c r="D19" s="68"/>
      <c r="E19" s="68"/>
      <c r="F19" s="69"/>
    </row>
    <row r="20" spans="1:6" s="72" customFormat="1" ht="12" customHeight="1">
      <c r="A20" s="68"/>
      <c r="B20" s="68"/>
      <c r="C20" s="68"/>
      <c r="D20" s="70"/>
      <c r="E20" s="71"/>
      <c r="F20" s="69"/>
    </row>
    <row r="21" spans="1:6" s="72" customFormat="1" ht="12" customHeight="1">
      <c r="A21" s="68"/>
      <c r="B21" s="68"/>
      <c r="C21" s="68"/>
      <c r="D21" s="68"/>
      <c r="E21" s="68"/>
      <c r="F21" s="69"/>
    </row>
    <row r="22" spans="1:6" s="72" customFormat="1" ht="12" customHeight="1">
      <c r="A22" s="68"/>
      <c r="B22" s="68"/>
      <c r="C22" s="68"/>
      <c r="D22" s="68"/>
      <c r="E22" s="68"/>
      <c r="F22" s="69"/>
    </row>
    <row r="23" spans="1:6" s="72" customFormat="1" ht="12" customHeight="1">
      <c r="A23" s="68"/>
      <c r="B23" s="68"/>
      <c r="C23" s="68"/>
      <c r="D23" s="70"/>
      <c r="E23" s="71"/>
      <c r="F23" s="69"/>
    </row>
    <row r="24" spans="1:6" s="72" customFormat="1" ht="12" customHeight="1">
      <c r="A24" s="68"/>
      <c r="B24" s="68"/>
      <c r="C24" s="68"/>
      <c r="D24" s="68"/>
      <c r="E24" s="68"/>
      <c r="F24" s="69"/>
    </row>
    <row r="25" spans="1:6" s="72" customFormat="1" ht="12" customHeight="1">
      <c r="A25" s="68"/>
      <c r="B25" s="68"/>
      <c r="C25" s="68"/>
      <c r="D25" s="68"/>
      <c r="E25" s="68"/>
      <c r="F25" s="69"/>
    </row>
    <row r="26" spans="1:6" s="72" customFormat="1" ht="12" customHeight="1">
      <c r="A26" s="68"/>
      <c r="B26" s="68"/>
      <c r="C26" s="68"/>
      <c r="D26" s="70"/>
      <c r="E26" s="71"/>
      <c r="F26" s="69"/>
    </row>
    <row r="27" spans="1:6" s="72" customFormat="1" ht="12" customHeight="1">
      <c r="A27" s="68"/>
      <c r="B27" s="68"/>
      <c r="C27" s="68"/>
      <c r="D27" s="68"/>
      <c r="E27" s="68"/>
      <c r="F27" s="69"/>
    </row>
    <row r="28" spans="1:6" s="72" customFormat="1" ht="12" customHeight="1">
      <c r="A28" s="68"/>
      <c r="B28" s="68"/>
      <c r="C28" s="68"/>
      <c r="D28" s="68"/>
      <c r="E28" s="68"/>
      <c r="F28" s="69"/>
    </row>
    <row r="29" spans="1:6" s="72" customFormat="1" ht="12" customHeight="1">
      <c r="A29" s="68"/>
      <c r="B29" s="68"/>
      <c r="C29" s="68"/>
      <c r="D29" s="70"/>
      <c r="E29" s="71"/>
      <c r="F29" s="69"/>
    </row>
    <row r="30" spans="1:6" s="72" customFormat="1" ht="12" customHeight="1">
      <c r="A30" s="68"/>
      <c r="B30" s="68"/>
      <c r="C30" s="68"/>
      <c r="D30" s="68"/>
      <c r="E30" s="68"/>
      <c r="F30" s="69"/>
    </row>
    <row r="31" spans="1:6" s="72" customFormat="1" ht="12" customHeight="1">
      <c r="A31" s="68"/>
      <c r="B31" s="68"/>
      <c r="C31" s="68"/>
      <c r="D31" s="68"/>
      <c r="E31" s="68"/>
      <c r="F31" s="69"/>
    </row>
    <row r="32" spans="1:6" s="72" customFormat="1" ht="12" customHeight="1">
      <c r="A32" s="68"/>
      <c r="B32" s="68"/>
      <c r="C32" s="68"/>
      <c r="D32" s="70"/>
      <c r="E32" s="71"/>
      <c r="F32" s="69"/>
    </row>
    <row r="33" spans="1:6" s="72" customFormat="1" ht="12" customHeight="1">
      <c r="A33" s="68"/>
      <c r="B33" s="68"/>
      <c r="C33" s="68"/>
      <c r="D33" s="68"/>
      <c r="E33" s="68"/>
      <c r="F33" s="69"/>
    </row>
    <row r="34" spans="1:6" s="72" customFormat="1" ht="12" customHeight="1">
      <c r="A34" s="68"/>
      <c r="B34" s="68"/>
      <c r="C34" s="68"/>
      <c r="D34" s="68"/>
      <c r="E34" s="68"/>
      <c r="F34" s="69"/>
    </row>
    <row r="35" spans="1:6" s="72" customFormat="1" ht="12" customHeight="1">
      <c r="A35" s="68"/>
      <c r="B35" s="68"/>
      <c r="C35" s="68"/>
      <c r="D35" s="70"/>
      <c r="E35" s="71"/>
      <c r="F35" s="69"/>
    </row>
    <row r="36" spans="1:6" s="72" customFormat="1" ht="12" customHeight="1">
      <c r="A36" s="68"/>
      <c r="B36" s="68"/>
      <c r="C36" s="68"/>
      <c r="D36" s="68"/>
      <c r="E36" s="68"/>
      <c r="F36" s="69"/>
    </row>
    <row r="37" spans="1:6" s="72" customFormat="1" ht="12" customHeight="1">
      <c r="A37" s="68"/>
      <c r="B37" s="68"/>
      <c r="C37" s="68"/>
      <c r="D37" s="68"/>
      <c r="E37" s="68"/>
      <c r="F37" s="69"/>
    </row>
    <row r="38" spans="1:6" s="72" customFormat="1" ht="12" customHeight="1">
      <c r="A38" s="68"/>
      <c r="B38" s="68"/>
      <c r="C38" s="68"/>
      <c r="D38" s="70"/>
      <c r="E38" s="71"/>
      <c r="F38" s="69"/>
    </row>
    <row r="39" spans="1:6" s="72" customFormat="1" ht="12" customHeight="1">
      <c r="A39" s="68"/>
      <c r="B39" s="68"/>
      <c r="C39" s="68"/>
      <c r="D39" s="68"/>
      <c r="E39" s="68"/>
      <c r="F39" s="69"/>
    </row>
    <row r="40" spans="1:6" s="72" customFormat="1" ht="12" customHeight="1">
      <c r="A40" s="68"/>
      <c r="B40" s="68"/>
      <c r="C40" s="68"/>
      <c r="D40" s="68"/>
      <c r="E40" s="68"/>
      <c r="F40" s="69"/>
    </row>
    <row r="41" spans="1:6" s="72" customFormat="1" ht="12" customHeight="1">
      <c r="A41" s="68"/>
      <c r="B41" s="68"/>
      <c r="C41" s="68"/>
      <c r="D41" s="70"/>
      <c r="E41" s="71"/>
      <c r="F41" s="69"/>
    </row>
    <row r="42" spans="1:6" s="72" customFormat="1" ht="12" customHeight="1">
      <c r="A42" s="68"/>
      <c r="B42" s="68"/>
      <c r="C42" s="68"/>
      <c r="D42" s="68"/>
      <c r="E42" s="68"/>
      <c r="F42" s="69"/>
    </row>
    <row r="43" spans="1:6" s="72" customFormat="1" ht="12" customHeight="1">
      <c r="A43" s="68"/>
      <c r="B43" s="68"/>
      <c r="C43" s="68"/>
      <c r="D43" s="68"/>
      <c r="E43" s="68"/>
      <c r="F43" s="69"/>
    </row>
    <row r="44" spans="1:6" s="72" customFormat="1" ht="12" customHeight="1">
      <c r="A44" s="68"/>
      <c r="B44" s="68"/>
      <c r="C44" s="68"/>
      <c r="D44" s="70"/>
      <c r="E44" s="71"/>
      <c r="F44" s="69"/>
    </row>
    <row r="45" spans="1:6" s="72" customFormat="1" ht="12" customHeight="1">
      <c r="A45" s="68"/>
      <c r="B45" s="68"/>
      <c r="C45" s="68"/>
      <c r="D45" s="68"/>
      <c r="E45" s="68"/>
      <c r="F45" s="69"/>
    </row>
    <row r="46" spans="1:6" s="72" customFormat="1" ht="12" customHeight="1">
      <c r="A46" s="68"/>
      <c r="B46" s="68"/>
      <c r="C46" s="68"/>
      <c r="D46" s="68"/>
      <c r="E46" s="68"/>
      <c r="F46" s="69"/>
    </row>
    <row r="47" spans="1:6" s="72" customFormat="1" ht="12" customHeight="1">
      <c r="A47" s="68"/>
      <c r="B47" s="68"/>
      <c r="C47" s="68"/>
      <c r="D47" s="70"/>
      <c r="E47" s="71"/>
      <c r="F47" s="69"/>
    </row>
    <row r="48" spans="1:6" s="72" customFormat="1" ht="12" customHeight="1">
      <c r="A48" s="68"/>
      <c r="B48" s="68"/>
      <c r="C48" s="68"/>
      <c r="D48" s="68"/>
      <c r="E48" s="68"/>
      <c r="F48" s="69"/>
    </row>
    <row r="49" spans="1:6" s="72" customFormat="1" ht="12" customHeight="1">
      <c r="A49" s="68"/>
      <c r="B49" s="68"/>
      <c r="C49" s="68"/>
      <c r="D49" s="68"/>
      <c r="E49" s="68"/>
      <c r="F49" s="69"/>
    </row>
    <row r="50" spans="1:6" s="72" customFormat="1" ht="12" customHeight="1">
      <c r="A50" s="68"/>
      <c r="B50" s="68"/>
      <c r="C50" s="68"/>
      <c r="D50" s="70"/>
      <c r="E50" s="71"/>
      <c r="F50" s="69"/>
    </row>
    <row r="51" spans="1:6" s="72" customFormat="1" ht="12" customHeight="1">
      <c r="A51" s="68"/>
      <c r="B51" s="68"/>
      <c r="C51" s="68"/>
      <c r="D51" s="68"/>
      <c r="E51" s="68"/>
      <c r="F51" s="69"/>
    </row>
    <row r="52" spans="1:6" s="72" customFormat="1" ht="12" customHeight="1">
      <c r="A52" s="68"/>
      <c r="B52" s="68"/>
      <c r="C52" s="68"/>
      <c r="D52" s="68"/>
      <c r="E52" s="68"/>
      <c r="F52" s="69"/>
    </row>
    <row r="53" spans="1:6" s="72" customFormat="1" ht="12" customHeight="1">
      <c r="A53" s="68"/>
      <c r="B53" s="68"/>
      <c r="C53" s="68"/>
      <c r="D53" s="70"/>
      <c r="E53" s="71"/>
      <c r="F53" s="69"/>
    </row>
    <row r="54" spans="1:6" s="72" customFormat="1" ht="12" customHeight="1">
      <c r="A54" s="68"/>
      <c r="B54" s="68"/>
      <c r="C54" s="68"/>
      <c r="D54" s="68"/>
      <c r="E54" s="68"/>
      <c r="F54" s="69"/>
    </row>
    <row r="55" spans="1:6" s="72" customFormat="1" ht="12" customHeight="1">
      <c r="A55" s="68"/>
      <c r="B55" s="68"/>
      <c r="C55" s="68"/>
      <c r="D55" s="68"/>
      <c r="E55" s="68"/>
      <c r="F55" s="69"/>
    </row>
    <row r="56" spans="1:6" s="72" customFormat="1" ht="12" customHeight="1">
      <c r="A56" s="68"/>
      <c r="B56" s="68"/>
      <c r="C56" s="68"/>
      <c r="D56" s="70"/>
      <c r="E56" s="71"/>
      <c r="F56" s="69"/>
    </row>
    <row r="57" spans="1:6" s="72" customFormat="1" ht="12" customHeight="1">
      <c r="A57" s="68"/>
      <c r="B57" s="68"/>
      <c r="C57" s="68"/>
      <c r="D57" s="68"/>
      <c r="E57" s="68"/>
      <c r="F57" s="69"/>
    </row>
    <row r="58" spans="1:6" s="72" customFormat="1" ht="12" customHeight="1">
      <c r="A58" s="68"/>
      <c r="B58" s="68"/>
      <c r="C58" s="68"/>
      <c r="D58" s="68"/>
      <c r="E58" s="68"/>
      <c r="F58" s="69"/>
    </row>
    <row r="59" spans="1:6" s="72" customFormat="1" ht="12" customHeight="1">
      <c r="A59" s="68"/>
      <c r="B59" s="68"/>
      <c r="C59" s="68"/>
      <c r="D59" s="70"/>
      <c r="E59" s="71"/>
      <c r="F59" s="69"/>
    </row>
    <row r="60" spans="1:6" s="72" customFormat="1" ht="12" customHeight="1">
      <c r="A60" s="68"/>
      <c r="B60" s="68"/>
      <c r="C60" s="68"/>
      <c r="D60" s="68"/>
      <c r="E60" s="68"/>
      <c r="F60" s="69"/>
    </row>
    <row r="61" spans="1:6" s="72" customFormat="1" ht="12" customHeight="1">
      <c r="A61" s="68"/>
      <c r="B61" s="68"/>
      <c r="C61" s="68"/>
      <c r="D61" s="68"/>
      <c r="E61" s="68"/>
      <c r="F61" s="69"/>
    </row>
    <row r="62" spans="1:6" s="72" customFormat="1" ht="12" customHeight="1">
      <c r="A62" s="68"/>
      <c r="B62" s="68"/>
      <c r="C62" s="68"/>
      <c r="D62" s="70"/>
      <c r="E62" s="71"/>
      <c r="F62" s="69"/>
    </row>
    <row r="63" spans="1:6" s="72" customFormat="1" ht="12" customHeight="1">
      <c r="A63" s="68"/>
      <c r="B63" s="68"/>
      <c r="C63" s="68"/>
      <c r="D63" s="68"/>
      <c r="E63" s="68"/>
      <c r="F63" s="69"/>
    </row>
    <row r="64" spans="1:6" s="72" customFormat="1" ht="12" customHeight="1">
      <c r="A64" s="68"/>
      <c r="B64" s="68"/>
      <c r="C64" s="68"/>
      <c r="D64" s="68"/>
      <c r="E64" s="68"/>
      <c r="F64" s="69"/>
    </row>
    <row r="65" spans="1:6" s="72" customFormat="1" ht="12" customHeight="1">
      <c r="A65" s="68"/>
      <c r="B65" s="68"/>
      <c r="C65" s="68"/>
      <c r="D65" s="70"/>
      <c r="E65" s="71"/>
      <c r="F65" s="69"/>
    </row>
    <row r="66" spans="1:6" s="72" customFormat="1" ht="12" customHeight="1">
      <c r="A66" s="68"/>
      <c r="B66" s="68"/>
      <c r="C66" s="68"/>
      <c r="D66" s="68"/>
      <c r="E66" s="68"/>
      <c r="F66" s="69"/>
    </row>
    <row r="67" spans="1:6" s="72" customFormat="1" ht="12" customHeight="1">
      <c r="A67" s="68"/>
      <c r="B67" s="68"/>
      <c r="C67" s="68"/>
      <c r="D67" s="68"/>
      <c r="E67" s="68"/>
      <c r="F67" s="69"/>
    </row>
    <row r="68" spans="1:6" s="72" customFormat="1" ht="12" customHeight="1">
      <c r="A68" s="68"/>
      <c r="B68" s="68"/>
      <c r="C68" s="68"/>
      <c r="D68" s="70"/>
      <c r="E68" s="71"/>
      <c r="F68" s="69"/>
    </row>
    <row r="69" spans="1:6" s="72" customFormat="1" ht="12" customHeight="1">
      <c r="A69" s="68"/>
      <c r="B69" s="68"/>
      <c r="C69" s="68"/>
      <c r="D69" s="68"/>
      <c r="E69" s="68"/>
      <c r="F69" s="69"/>
    </row>
    <row r="70" spans="1:6" s="72" customFormat="1" ht="12" customHeight="1">
      <c r="A70" s="68"/>
      <c r="B70" s="68"/>
      <c r="C70" s="68"/>
      <c r="D70" s="68"/>
      <c r="E70" s="68"/>
      <c r="F70" s="69"/>
    </row>
    <row r="71" spans="1:6" s="72" customFormat="1" ht="12" customHeight="1">
      <c r="A71" s="68"/>
      <c r="B71" s="68"/>
      <c r="C71" s="68"/>
      <c r="D71" s="70"/>
      <c r="E71" s="71"/>
      <c r="F71" s="69"/>
    </row>
    <row r="72" spans="1:6" s="72" customFormat="1" ht="12" customHeight="1">
      <c r="A72" s="68"/>
      <c r="B72" s="68"/>
      <c r="C72" s="68"/>
      <c r="D72" s="68"/>
      <c r="E72" s="68"/>
      <c r="F72" s="69"/>
    </row>
    <row r="73" spans="1:6" s="72" customFormat="1" ht="12" customHeight="1">
      <c r="A73" s="68"/>
      <c r="B73" s="68"/>
      <c r="C73" s="68"/>
      <c r="D73" s="68"/>
      <c r="E73" s="68"/>
      <c r="F73" s="69"/>
    </row>
    <row r="74" spans="1:6" s="72" customFormat="1" ht="12" customHeight="1">
      <c r="A74" s="68"/>
      <c r="B74" s="68"/>
      <c r="C74" s="68"/>
      <c r="D74" s="70"/>
      <c r="E74" s="71"/>
      <c r="F74" s="69"/>
    </row>
    <row r="75" spans="1:6" s="72" customFormat="1" ht="12" customHeight="1">
      <c r="A75" s="68"/>
      <c r="B75" s="68"/>
      <c r="C75" s="68"/>
      <c r="D75" s="68"/>
      <c r="E75" s="68"/>
      <c r="F75" s="69"/>
    </row>
    <row r="76" spans="1:6" s="72" customFormat="1" ht="12" customHeight="1">
      <c r="A76" s="68"/>
      <c r="B76" s="68"/>
      <c r="C76" s="68"/>
      <c r="D76" s="68"/>
      <c r="E76" s="68"/>
      <c r="F76" s="69"/>
    </row>
    <row r="77" spans="1:6" s="72" customFormat="1" ht="12" customHeight="1">
      <c r="A77" s="68"/>
      <c r="B77" s="68"/>
      <c r="C77" s="68"/>
      <c r="D77" s="70"/>
      <c r="E77" s="71"/>
      <c r="F77" s="69"/>
    </row>
    <row r="78" spans="1:6" s="72" customFormat="1" ht="12" customHeight="1">
      <c r="A78" s="68"/>
      <c r="B78" s="68"/>
      <c r="C78" s="68"/>
      <c r="D78" s="68"/>
      <c r="E78" s="68"/>
      <c r="F78" s="69"/>
    </row>
    <row r="79" spans="1:6" s="72" customFormat="1" ht="12" customHeight="1">
      <c r="A79" s="68"/>
      <c r="B79" s="68"/>
      <c r="C79" s="68"/>
      <c r="D79" s="68"/>
      <c r="E79" s="68"/>
      <c r="F79" s="69"/>
    </row>
    <row r="80" spans="1:6" s="72" customFormat="1" ht="12" customHeight="1">
      <c r="A80" s="68"/>
      <c r="B80" s="68"/>
      <c r="C80" s="68"/>
      <c r="D80" s="70"/>
      <c r="E80" s="71"/>
      <c r="F80" s="69"/>
    </row>
    <row r="81" spans="1:6" s="72" customFormat="1" ht="12" customHeight="1">
      <c r="A81" s="68"/>
      <c r="B81" s="68"/>
      <c r="C81" s="68"/>
      <c r="D81" s="68"/>
      <c r="E81" s="68"/>
      <c r="F81" s="69"/>
    </row>
    <row r="82" spans="1:6" s="72" customFormat="1" ht="12" customHeight="1">
      <c r="A82" s="68"/>
      <c r="B82" s="68"/>
      <c r="C82" s="68"/>
      <c r="D82" s="68"/>
      <c r="E82" s="68"/>
      <c r="F82" s="69"/>
    </row>
    <row r="83" spans="1:6" s="72" customFormat="1" ht="12" customHeight="1">
      <c r="A83" s="68"/>
      <c r="B83" s="68"/>
      <c r="C83" s="68"/>
      <c r="D83" s="70"/>
      <c r="E83" s="71"/>
      <c r="F83" s="69"/>
    </row>
    <row r="84" spans="1:6" s="72" customFormat="1" ht="12" customHeight="1">
      <c r="A84" s="68"/>
      <c r="B84" s="68"/>
      <c r="C84" s="68"/>
      <c r="D84" s="68"/>
      <c r="E84" s="68"/>
      <c r="F84" s="69"/>
    </row>
    <row r="85" spans="1:6" s="72" customFormat="1" ht="12" customHeight="1">
      <c r="A85" s="68"/>
      <c r="B85" s="68"/>
      <c r="C85" s="68"/>
      <c r="D85" s="68"/>
      <c r="E85" s="68"/>
      <c r="F85" s="69"/>
    </row>
    <row r="86" spans="1:6" s="72" customFormat="1" ht="12" customHeight="1">
      <c r="A86" s="68"/>
      <c r="B86" s="68"/>
      <c r="C86" s="68"/>
      <c r="D86" s="70"/>
      <c r="E86" s="71"/>
      <c r="F86" s="69"/>
    </row>
    <row r="87" spans="1:6" s="72" customFormat="1" ht="12" customHeight="1">
      <c r="A87" s="68"/>
      <c r="B87" s="68"/>
      <c r="C87" s="68"/>
      <c r="D87" s="68"/>
      <c r="E87" s="68"/>
      <c r="F87" s="69"/>
    </row>
    <row r="88" spans="1:6" s="72" customFormat="1" ht="12" customHeight="1">
      <c r="A88" s="68"/>
      <c r="B88" s="68"/>
      <c r="C88" s="68"/>
      <c r="D88" s="68"/>
      <c r="E88" s="68"/>
      <c r="F88" s="69"/>
    </row>
    <row r="89" spans="1:6" s="72" customFormat="1" ht="12" customHeight="1">
      <c r="A89" s="68"/>
      <c r="B89" s="68"/>
      <c r="C89" s="68"/>
      <c r="D89" s="70"/>
      <c r="E89" s="71"/>
      <c r="F89" s="69"/>
    </row>
    <row r="90" spans="1:6" s="72" customFormat="1" ht="12" customHeight="1">
      <c r="A90" s="68"/>
      <c r="B90" s="68"/>
      <c r="C90" s="68"/>
      <c r="D90" s="68"/>
      <c r="E90" s="68"/>
      <c r="F90" s="69"/>
    </row>
    <row r="91" spans="1:6" s="72" customFormat="1" ht="12" customHeight="1">
      <c r="A91" s="68"/>
      <c r="B91" s="68"/>
      <c r="C91" s="68"/>
      <c r="D91" s="68"/>
      <c r="E91" s="68"/>
      <c r="F91" s="69"/>
    </row>
    <row r="92" spans="1:6" s="72" customFormat="1" ht="12" customHeight="1">
      <c r="A92" s="68"/>
      <c r="B92" s="68"/>
      <c r="C92" s="68"/>
      <c r="D92" s="70"/>
      <c r="E92" s="71"/>
      <c r="F92" s="69"/>
    </row>
    <row r="93" spans="1:6" s="72" customFormat="1" ht="12" customHeight="1">
      <c r="A93" s="68"/>
      <c r="B93" s="68"/>
      <c r="C93" s="68"/>
      <c r="D93" s="68"/>
      <c r="E93" s="68"/>
      <c r="F93" s="69"/>
    </row>
    <row r="94" spans="1:6" ht="12" customHeight="1">
      <c r="A94" s="111"/>
      <c r="B94" s="111"/>
      <c r="C94" s="113"/>
      <c r="D94" s="113"/>
      <c r="E94" s="113"/>
      <c r="F94" s="112"/>
    </row>
    <row r="95" spans="1:6" ht="12" customHeight="1">
      <c r="A95" s="155"/>
      <c r="B95" s="155"/>
      <c r="C95" s="113"/>
      <c r="D95" s="63"/>
      <c r="E95" s="64"/>
      <c r="F95" s="156"/>
    </row>
    <row r="96" spans="1:6" ht="12" customHeight="1">
      <c r="A96" s="155"/>
      <c r="B96" s="155"/>
      <c r="C96" s="113"/>
      <c r="D96" s="111"/>
      <c r="E96" s="113"/>
      <c r="F96" s="156"/>
    </row>
    <row r="97" spans="1:6" ht="12" customHeight="1">
      <c r="A97" s="155"/>
      <c r="B97" s="155"/>
      <c r="C97" s="157"/>
      <c r="D97" s="157"/>
      <c r="E97" s="157"/>
      <c r="F97" s="156"/>
    </row>
    <row r="98" spans="1:6" ht="12" customHeight="1">
      <c r="A98" s="155"/>
      <c r="B98" s="155"/>
      <c r="C98" s="113"/>
      <c r="D98" s="63"/>
      <c r="E98" s="64"/>
      <c r="F98" s="156"/>
    </row>
    <row r="99" spans="1:6" ht="12" customHeight="1">
      <c r="A99" s="155"/>
      <c r="B99" s="155"/>
      <c r="C99" s="113"/>
      <c r="D99" s="111"/>
      <c r="E99" s="113"/>
      <c r="F99" s="156"/>
    </row>
    <row r="100" spans="1:6" ht="12" customHeight="1">
      <c r="A100" s="155"/>
      <c r="B100" s="155"/>
      <c r="C100" s="157"/>
      <c r="D100" s="157"/>
      <c r="E100" s="157"/>
      <c r="F100" s="156"/>
    </row>
    <row r="101" spans="1:6" ht="12" customHeight="1">
      <c r="A101" s="155"/>
      <c r="B101" s="155"/>
      <c r="C101" s="113"/>
      <c r="D101" s="63"/>
      <c r="E101" s="64"/>
      <c r="F101" s="156"/>
    </row>
    <row r="102" spans="1:6" ht="12" customHeight="1">
      <c r="A102" s="155"/>
      <c r="B102" s="155"/>
      <c r="C102" s="113"/>
      <c r="D102" s="111"/>
      <c r="E102" s="113"/>
      <c r="F102" s="156"/>
    </row>
    <row r="103" spans="1:6" ht="12" customHeight="1">
      <c r="A103" s="155"/>
      <c r="B103" s="155"/>
      <c r="C103" s="157"/>
      <c r="D103" s="157"/>
      <c r="E103" s="157"/>
      <c r="F103" s="156"/>
    </row>
    <row r="104" spans="1:6" ht="12" customHeight="1">
      <c r="A104" s="155"/>
      <c r="B104" s="155"/>
      <c r="C104" s="113"/>
      <c r="D104" s="63"/>
      <c r="E104" s="64"/>
      <c r="F104" s="156"/>
    </row>
    <row r="105" spans="1:6" ht="12" customHeight="1">
      <c r="A105" s="155"/>
      <c r="B105" s="155"/>
      <c r="C105" s="113"/>
      <c r="D105" s="111"/>
      <c r="E105" s="113"/>
      <c r="F105" s="156"/>
    </row>
    <row r="106" spans="1:6" ht="12" customHeight="1">
      <c r="A106" s="155"/>
      <c r="B106" s="155"/>
      <c r="C106" s="157"/>
      <c r="D106" s="157"/>
      <c r="E106" s="157"/>
      <c r="F106" s="156"/>
    </row>
    <row r="107" spans="1:6" ht="12" customHeight="1">
      <c r="A107" s="155"/>
      <c r="B107" s="155"/>
      <c r="C107" s="113"/>
      <c r="D107" s="63"/>
      <c r="E107" s="64"/>
      <c r="F107" s="156"/>
    </row>
    <row r="108" spans="1:6" ht="12" customHeight="1">
      <c r="A108" s="155"/>
      <c r="B108" s="155"/>
      <c r="C108" s="113"/>
      <c r="D108" s="111"/>
      <c r="E108" s="113"/>
      <c r="F108" s="156"/>
    </row>
    <row r="109" spans="1:6" ht="12" customHeight="1">
      <c r="A109" s="155"/>
      <c r="B109" s="155"/>
      <c r="C109" s="157"/>
      <c r="D109" s="157"/>
      <c r="E109" s="157"/>
      <c r="F109" s="156"/>
    </row>
    <row r="110" spans="1:6" ht="12" customHeight="1">
      <c r="A110" s="155"/>
      <c r="B110" s="155"/>
      <c r="C110" s="113"/>
      <c r="D110" s="63"/>
      <c r="E110" s="64"/>
      <c r="F110" s="156"/>
    </row>
    <row r="111" spans="1:6" ht="12" customHeight="1">
      <c r="A111" s="155"/>
      <c r="B111" s="155"/>
      <c r="C111" s="113"/>
      <c r="D111" s="111"/>
      <c r="E111" s="113"/>
      <c r="F111" s="156"/>
    </row>
    <row r="112" spans="1:6" ht="12" customHeight="1">
      <c r="A112" s="155"/>
      <c r="B112" s="155"/>
      <c r="C112" s="157"/>
      <c r="D112" s="157"/>
      <c r="E112" s="157"/>
      <c r="F112" s="156"/>
    </row>
    <row r="113" spans="1:6" ht="12" customHeight="1">
      <c r="A113" s="155"/>
      <c r="B113" s="155"/>
      <c r="C113" s="113"/>
      <c r="D113" s="63"/>
      <c r="E113" s="64"/>
      <c r="F113" s="156"/>
    </row>
    <row r="114" spans="1:6" ht="12" customHeight="1">
      <c r="A114" s="155"/>
      <c r="B114" s="155"/>
      <c r="C114" s="113"/>
      <c r="D114" s="111"/>
      <c r="E114" s="113"/>
      <c r="F114" s="156"/>
    </row>
    <row r="115" spans="1:6" ht="12" customHeight="1">
      <c r="A115" s="155"/>
      <c r="B115" s="155"/>
      <c r="C115" s="157"/>
      <c r="D115" s="157"/>
      <c r="E115" s="157"/>
      <c r="F115" s="156"/>
    </row>
    <row r="116" spans="1:6" ht="12" customHeight="1">
      <c r="A116" s="155"/>
      <c r="B116" s="155"/>
      <c r="C116" s="113"/>
      <c r="D116" s="63"/>
      <c r="E116" s="64"/>
      <c r="F116" s="156"/>
    </row>
    <row r="117" spans="1:6" ht="12" customHeight="1">
      <c r="A117" s="155"/>
      <c r="B117" s="155"/>
      <c r="C117" s="113"/>
      <c r="D117" s="111"/>
      <c r="E117" s="113"/>
      <c r="F117" s="156"/>
    </row>
    <row r="118" spans="1:6" ht="12" customHeight="1">
      <c r="A118" s="155"/>
      <c r="B118" s="155"/>
      <c r="C118" s="157"/>
      <c r="D118" s="157"/>
      <c r="E118" s="157"/>
      <c r="F118" s="156"/>
    </row>
    <row r="119" spans="1:6" ht="12" customHeight="1">
      <c r="A119" s="155"/>
      <c r="B119" s="155"/>
      <c r="C119" s="113"/>
      <c r="D119" s="63"/>
      <c r="E119" s="64"/>
      <c r="F119" s="156"/>
    </row>
    <row r="120" spans="1:6" ht="12" customHeight="1">
      <c r="A120" s="155"/>
      <c r="B120" s="155"/>
      <c r="C120" s="113"/>
      <c r="D120" s="111"/>
      <c r="E120" s="113"/>
      <c r="F120" s="156"/>
    </row>
    <row r="121" spans="1:6" ht="12" customHeight="1">
      <c r="A121" s="155"/>
      <c r="B121" s="155"/>
      <c r="C121" s="157"/>
      <c r="D121" s="157"/>
      <c r="E121" s="157"/>
      <c r="F121" s="156"/>
    </row>
    <row r="122" spans="1:6" ht="12" customHeight="1">
      <c r="A122" s="155"/>
      <c r="B122" s="155"/>
      <c r="C122" s="113"/>
      <c r="D122" s="63"/>
      <c r="E122" s="64"/>
      <c r="F122" s="156"/>
    </row>
    <row r="123" spans="1:6" ht="12" customHeight="1">
      <c r="A123" s="155"/>
      <c r="B123" s="155"/>
      <c r="C123" s="113"/>
      <c r="D123" s="111"/>
      <c r="E123" s="113"/>
      <c r="F123" s="156"/>
    </row>
    <row r="124" spans="1:6" ht="12" customHeight="1">
      <c r="A124" s="155"/>
      <c r="B124" s="155"/>
      <c r="C124" s="157"/>
      <c r="D124" s="157"/>
      <c r="E124" s="157"/>
      <c r="F124" s="156"/>
    </row>
    <row r="125" spans="1:6" ht="12" customHeight="1">
      <c r="A125" s="155"/>
      <c r="B125" s="155"/>
      <c r="C125" s="113"/>
      <c r="D125" s="63"/>
      <c r="E125" s="64"/>
      <c r="F125" s="156"/>
    </row>
    <row r="126" spans="1:6" ht="12" customHeight="1">
      <c r="A126" s="155"/>
      <c r="B126" s="155"/>
      <c r="C126" s="113"/>
      <c r="D126" s="111"/>
      <c r="E126" s="113"/>
      <c r="F126" s="156"/>
    </row>
    <row r="127" spans="1:6" ht="12" customHeight="1">
      <c r="A127" s="155"/>
      <c r="B127" s="155"/>
      <c r="C127" s="157"/>
      <c r="D127" s="157"/>
      <c r="E127" s="157"/>
      <c r="F127" s="156"/>
    </row>
    <row r="128" spans="1:6" ht="12" customHeight="1">
      <c r="A128" s="155"/>
      <c r="B128" s="155"/>
      <c r="C128" s="113"/>
      <c r="D128" s="63"/>
      <c r="E128" s="64"/>
      <c r="F128" s="156"/>
    </row>
    <row r="129" spans="1:6" ht="12" customHeight="1">
      <c r="A129" s="155"/>
      <c r="B129" s="155"/>
      <c r="C129" s="113"/>
      <c r="D129" s="111"/>
      <c r="E129" s="113"/>
      <c r="F129" s="156"/>
    </row>
    <row r="130" spans="1:6" ht="12" customHeight="1">
      <c r="A130" s="155"/>
      <c r="B130" s="155"/>
      <c r="C130" s="157"/>
      <c r="D130" s="157"/>
      <c r="E130" s="157"/>
      <c r="F130" s="156"/>
    </row>
    <row r="131" spans="1:6" ht="12" customHeight="1">
      <c r="A131" s="155"/>
      <c r="B131" s="155"/>
      <c r="C131" s="113"/>
      <c r="D131" s="63"/>
      <c r="E131" s="64"/>
      <c r="F131" s="156"/>
    </row>
    <row r="132" spans="1:6" ht="12" customHeight="1">
      <c r="A132" s="155"/>
      <c r="B132" s="155"/>
      <c r="C132" s="113"/>
      <c r="D132" s="111"/>
      <c r="E132" s="113"/>
      <c r="F132" s="156"/>
    </row>
    <row r="133" spans="1:6" ht="12" customHeight="1">
      <c r="A133" s="155"/>
      <c r="B133" s="155"/>
      <c r="C133" s="157"/>
      <c r="D133" s="157"/>
      <c r="E133" s="157"/>
      <c r="F133" s="156"/>
    </row>
    <row r="134" spans="1:6" ht="12" customHeight="1">
      <c r="A134" s="155"/>
      <c r="B134" s="155"/>
      <c r="C134" s="113"/>
      <c r="D134" s="63"/>
      <c r="E134" s="64"/>
      <c r="F134" s="156"/>
    </row>
    <row r="135" spans="1:6" ht="12" customHeight="1">
      <c r="A135" s="155"/>
      <c r="B135" s="155"/>
      <c r="C135" s="113"/>
      <c r="D135" s="111"/>
      <c r="E135" s="113"/>
      <c r="F135" s="156"/>
    </row>
    <row r="136" spans="1:6" ht="12" customHeight="1">
      <c r="A136" s="155"/>
      <c r="B136" s="155"/>
      <c r="C136" s="157"/>
      <c r="D136" s="157"/>
      <c r="E136" s="157"/>
      <c r="F136" s="156"/>
    </row>
    <row r="137" spans="1:6" ht="12" customHeight="1">
      <c r="A137" s="155"/>
      <c r="B137" s="155"/>
      <c r="C137" s="113"/>
      <c r="D137" s="63"/>
      <c r="E137" s="64"/>
      <c r="F137" s="156"/>
    </row>
    <row r="138" spans="1:6" ht="12" customHeight="1">
      <c r="A138" s="155"/>
      <c r="B138" s="155"/>
      <c r="C138" s="113"/>
      <c r="D138" s="111"/>
      <c r="E138" s="113"/>
      <c r="F138" s="156"/>
    </row>
    <row r="139" spans="1:6" ht="12" customHeight="1">
      <c r="A139" s="155"/>
      <c r="B139" s="155"/>
      <c r="C139" s="157"/>
      <c r="D139" s="157"/>
      <c r="E139" s="157"/>
      <c r="F139" s="156"/>
    </row>
    <row r="140" spans="1:6" ht="12" customHeight="1">
      <c r="A140" s="155"/>
      <c r="B140" s="155"/>
      <c r="C140" s="113"/>
      <c r="D140" s="63"/>
      <c r="E140" s="64"/>
      <c r="F140" s="156"/>
    </row>
    <row r="141" spans="1:6" ht="12" customHeight="1">
      <c r="A141" s="155"/>
      <c r="B141" s="155"/>
      <c r="C141" s="113"/>
      <c r="D141" s="111"/>
      <c r="E141" s="113"/>
      <c r="F141" s="156"/>
    </row>
    <row r="142" spans="1:6" ht="12" customHeight="1">
      <c r="A142" s="155"/>
      <c r="B142" s="155"/>
      <c r="C142" s="157"/>
      <c r="D142" s="157"/>
      <c r="E142" s="157"/>
      <c r="F142" s="156"/>
    </row>
    <row r="143" spans="1:6" ht="12" customHeight="1">
      <c r="A143" s="155"/>
      <c r="B143" s="155"/>
      <c r="C143" s="113"/>
      <c r="D143" s="63"/>
      <c r="E143" s="64"/>
      <c r="F143" s="156"/>
    </row>
    <row r="144" spans="1:6" ht="12" customHeight="1">
      <c r="A144" s="155"/>
      <c r="B144" s="155"/>
      <c r="C144" s="113"/>
      <c r="D144" s="111"/>
      <c r="E144" s="113"/>
      <c r="F144" s="156"/>
    </row>
    <row r="145" spans="1:6" ht="12" customHeight="1">
      <c r="A145" s="155"/>
      <c r="B145" s="155"/>
      <c r="C145" s="157"/>
      <c r="D145" s="157"/>
      <c r="E145" s="157"/>
      <c r="F145" s="156"/>
    </row>
    <row r="146" spans="1:6" ht="12" customHeight="1">
      <c r="A146" s="155"/>
      <c r="B146" s="155"/>
      <c r="C146" s="113"/>
      <c r="D146" s="63"/>
      <c r="E146" s="64"/>
      <c r="F146" s="156"/>
    </row>
    <row r="147" spans="1:6" ht="12" customHeight="1">
      <c r="A147" s="155"/>
      <c r="B147" s="155"/>
      <c r="C147" s="113"/>
      <c r="D147" s="111"/>
      <c r="E147" s="113"/>
      <c r="F147" s="156"/>
    </row>
    <row r="148" spans="1:6" ht="12" customHeight="1">
      <c r="A148" s="155"/>
      <c r="B148" s="155"/>
      <c r="C148" s="157"/>
      <c r="D148" s="157"/>
      <c r="E148" s="157"/>
      <c r="F148" s="156"/>
    </row>
    <row r="149" spans="1:6" ht="12" customHeight="1">
      <c r="A149" s="155"/>
      <c r="B149" s="155"/>
      <c r="C149" s="113"/>
      <c r="D149" s="63"/>
      <c r="E149" s="64"/>
      <c r="F149" s="156"/>
    </row>
    <row r="150" spans="1:6" ht="12" customHeight="1">
      <c r="A150" s="155"/>
      <c r="B150" s="155"/>
      <c r="C150" s="113"/>
      <c r="D150" s="111"/>
      <c r="E150" s="113"/>
      <c r="F150" s="156"/>
    </row>
    <row r="151" spans="1:6" ht="12" customHeight="1">
      <c r="A151" s="155"/>
      <c r="B151" s="155"/>
      <c r="C151" s="157"/>
      <c r="D151" s="157"/>
      <c r="E151" s="157"/>
      <c r="F151" s="156"/>
    </row>
    <row r="152" spans="1:6" ht="12" customHeight="1">
      <c r="A152" s="155"/>
      <c r="B152" s="155"/>
      <c r="C152" s="113"/>
      <c r="D152" s="63"/>
      <c r="E152" s="64"/>
      <c r="F152" s="156"/>
    </row>
    <row r="153" spans="1:6" ht="12" customHeight="1">
      <c r="A153" s="155"/>
      <c r="B153" s="155"/>
      <c r="C153" s="113"/>
      <c r="D153" s="111"/>
      <c r="E153" s="113"/>
      <c r="F153" s="156"/>
    </row>
    <row r="154" spans="1:6" ht="12" customHeight="1">
      <c r="A154" s="155"/>
      <c r="B154" s="155"/>
      <c r="C154" s="157"/>
      <c r="D154" s="157"/>
      <c r="E154" s="157"/>
      <c r="F154" s="156"/>
    </row>
    <row r="155" spans="1:6" ht="12" customHeight="1">
      <c r="A155" s="155"/>
      <c r="B155" s="155"/>
      <c r="C155" s="113"/>
      <c r="D155" s="63"/>
      <c r="E155" s="64"/>
      <c r="F155" s="156"/>
    </row>
    <row r="156" spans="1:6" ht="12" customHeight="1">
      <c r="A156" s="155"/>
      <c r="B156" s="155"/>
      <c r="C156" s="113"/>
      <c r="D156" s="111"/>
      <c r="E156" s="113"/>
      <c r="F156" s="156"/>
    </row>
    <row r="157" spans="1:6" ht="12" customHeight="1">
      <c r="A157" s="155"/>
      <c r="B157" s="155"/>
      <c r="C157" s="157"/>
      <c r="D157" s="157"/>
      <c r="E157" s="157"/>
      <c r="F157" s="156"/>
    </row>
    <row r="158" spans="1:6" ht="12" customHeight="1">
      <c r="A158" s="155"/>
      <c r="B158" s="155"/>
      <c r="C158" s="113"/>
      <c r="D158" s="63"/>
      <c r="E158" s="64"/>
      <c r="F158" s="156"/>
    </row>
    <row r="159" spans="1:6" ht="12" customHeight="1">
      <c r="A159" s="155"/>
      <c r="B159" s="155"/>
      <c r="C159" s="113"/>
      <c r="D159" s="111"/>
      <c r="E159" s="113"/>
      <c r="F159" s="156"/>
    </row>
    <row r="160" spans="1:6" ht="12" customHeight="1">
      <c r="A160" s="155"/>
      <c r="B160" s="155"/>
      <c r="C160" s="157"/>
      <c r="D160" s="157"/>
      <c r="E160" s="157"/>
      <c r="F160" s="156"/>
    </row>
    <row r="161" spans="1:6" ht="12" customHeight="1">
      <c r="A161" s="155"/>
      <c r="B161" s="155"/>
      <c r="C161" s="113"/>
      <c r="D161" s="63"/>
      <c r="E161" s="64"/>
      <c r="F161" s="156"/>
    </row>
    <row r="162" spans="1:6" ht="12" customHeight="1">
      <c r="A162" s="155"/>
      <c r="B162" s="155"/>
      <c r="C162" s="113"/>
      <c r="D162" s="111"/>
      <c r="E162" s="113"/>
      <c r="F162" s="156"/>
    </row>
    <row r="163" spans="1:6" ht="12" customHeight="1">
      <c r="A163" s="155"/>
      <c r="B163" s="155"/>
      <c r="C163" s="157"/>
      <c r="D163" s="157"/>
      <c r="E163" s="157"/>
      <c r="F163" s="156"/>
    </row>
    <row r="164" spans="1:6" ht="12" customHeight="1">
      <c r="A164" s="155"/>
      <c r="B164" s="155"/>
      <c r="C164" s="113"/>
      <c r="D164" s="63"/>
      <c r="E164" s="64"/>
      <c r="F164" s="156"/>
    </row>
    <row r="165" spans="1:6" ht="12" customHeight="1">
      <c r="A165" s="155"/>
      <c r="B165" s="155"/>
      <c r="C165" s="113"/>
      <c r="D165" s="111"/>
      <c r="E165" s="113"/>
      <c r="F165" s="156"/>
    </row>
    <row r="166" spans="1:6" ht="12" customHeight="1">
      <c r="A166" s="155"/>
      <c r="B166" s="155"/>
      <c r="C166" s="157"/>
      <c r="D166" s="157"/>
      <c r="E166" s="157"/>
      <c r="F166" s="156"/>
    </row>
    <row r="167" spans="1:6" ht="12" customHeight="1">
      <c r="A167" s="155"/>
      <c r="B167" s="155"/>
      <c r="C167" s="113"/>
      <c r="D167" s="63"/>
      <c r="E167" s="64"/>
      <c r="F167" s="156"/>
    </row>
    <row r="168" spans="1:6" ht="12" customHeight="1">
      <c r="A168" s="155"/>
      <c r="B168" s="155"/>
      <c r="C168" s="113"/>
      <c r="D168" s="111"/>
      <c r="E168" s="113"/>
      <c r="F168" s="156"/>
    </row>
    <row r="169" spans="1:6" ht="12" customHeight="1">
      <c r="A169" s="155"/>
      <c r="B169" s="155"/>
      <c r="C169" s="157"/>
      <c r="D169" s="157"/>
      <c r="E169" s="157"/>
      <c r="F169" s="156"/>
    </row>
    <row r="170" spans="1:6" ht="12" customHeight="1">
      <c r="A170" s="155"/>
      <c r="B170" s="155"/>
      <c r="C170" s="113"/>
      <c r="D170" s="63"/>
      <c r="E170" s="64"/>
      <c r="F170" s="156"/>
    </row>
    <row r="171" spans="1:6" ht="12" customHeight="1">
      <c r="A171" s="155"/>
      <c r="B171" s="155"/>
      <c r="C171" s="113"/>
      <c r="D171" s="111"/>
      <c r="E171" s="113"/>
      <c r="F171" s="156"/>
    </row>
    <row r="172" spans="1:6" ht="12" customHeight="1">
      <c r="A172" s="155"/>
      <c r="B172" s="155"/>
      <c r="C172" s="157"/>
      <c r="D172" s="157"/>
      <c r="E172" s="157"/>
      <c r="F172" s="156"/>
    </row>
    <row r="173" spans="1:6" ht="12" customHeight="1">
      <c r="A173" s="155"/>
      <c r="B173" s="155"/>
      <c r="C173" s="113"/>
      <c r="D173" s="63"/>
      <c r="E173" s="64"/>
      <c r="F173" s="156"/>
    </row>
    <row r="174" spans="1:6" ht="12" customHeight="1">
      <c r="A174" s="155"/>
      <c r="B174" s="155"/>
      <c r="C174" s="113"/>
      <c r="D174" s="111"/>
      <c r="E174" s="113"/>
      <c r="F174" s="156"/>
    </row>
    <row r="175" spans="1:6" ht="12" customHeight="1">
      <c r="A175" s="155"/>
      <c r="B175" s="155"/>
      <c r="C175" s="157"/>
      <c r="D175" s="157"/>
      <c r="E175" s="157"/>
      <c r="F175" s="156"/>
    </row>
    <row r="176" spans="1:6" ht="12" customHeight="1">
      <c r="A176" s="155"/>
      <c r="B176" s="155"/>
      <c r="C176" s="113"/>
      <c r="D176" s="63"/>
      <c r="E176" s="64"/>
      <c r="F176" s="156"/>
    </row>
    <row r="177" spans="1:6" ht="12" customHeight="1">
      <c r="A177" s="155"/>
      <c r="B177" s="155"/>
      <c r="C177" s="113"/>
      <c r="D177" s="111"/>
      <c r="E177" s="113"/>
      <c r="F177" s="156"/>
    </row>
    <row r="178" spans="1:6" ht="12" customHeight="1">
      <c r="A178" s="155"/>
      <c r="B178" s="155"/>
      <c r="C178" s="157"/>
      <c r="D178" s="157"/>
      <c r="E178" s="157"/>
      <c r="F178" s="156"/>
    </row>
    <row r="179" spans="1:6" ht="12" customHeight="1">
      <c r="A179" s="155"/>
      <c r="B179" s="155"/>
      <c r="C179" s="113"/>
      <c r="D179" s="63"/>
      <c r="E179" s="64"/>
      <c r="F179" s="156"/>
    </row>
    <row r="180" spans="1:6" ht="12" customHeight="1">
      <c r="A180" s="155"/>
      <c r="B180" s="155"/>
      <c r="C180" s="113"/>
      <c r="D180" s="111"/>
      <c r="E180" s="113"/>
      <c r="F180" s="156"/>
    </row>
    <row r="181" spans="1:6" ht="12" customHeight="1">
      <c r="A181" s="155"/>
      <c r="B181" s="155"/>
      <c r="C181" s="157"/>
      <c r="D181" s="157"/>
      <c r="E181" s="157"/>
      <c r="F181" s="156"/>
    </row>
    <row r="182" spans="1:6" ht="12" customHeight="1">
      <c r="A182" s="155"/>
      <c r="B182" s="155"/>
      <c r="C182" s="113"/>
      <c r="D182" s="63"/>
      <c r="E182" s="64"/>
      <c r="F182" s="156"/>
    </row>
    <row r="183" spans="1:6" ht="12" customHeight="1">
      <c r="A183" s="155"/>
      <c r="B183" s="155"/>
      <c r="C183" s="113"/>
      <c r="D183" s="111"/>
      <c r="E183" s="113"/>
      <c r="F183" s="156"/>
    </row>
    <row r="184" spans="1:6" ht="12" customHeight="1">
      <c r="A184" s="155"/>
      <c r="B184" s="155"/>
      <c r="C184" s="157"/>
      <c r="D184" s="157"/>
      <c r="E184" s="157"/>
      <c r="F184" s="156"/>
    </row>
    <row r="185" spans="1:6" ht="12" customHeight="1">
      <c r="A185" s="155"/>
      <c r="B185" s="155"/>
      <c r="C185" s="113"/>
      <c r="D185" s="63"/>
      <c r="E185" s="64"/>
      <c r="F185" s="156"/>
    </row>
    <row r="186" spans="1:6" ht="12" customHeight="1">
      <c r="A186" s="155"/>
      <c r="B186" s="155"/>
      <c r="C186" s="113"/>
      <c r="D186" s="111"/>
      <c r="E186" s="113"/>
      <c r="F186" s="156"/>
    </row>
    <row r="187" spans="1:6" ht="12" customHeight="1">
      <c r="A187" s="155"/>
      <c r="B187" s="155"/>
      <c r="C187" s="157"/>
      <c r="D187" s="157"/>
      <c r="E187" s="157"/>
      <c r="F187" s="156"/>
    </row>
    <row r="188" spans="1:6" ht="12" customHeight="1">
      <c r="A188" s="155"/>
      <c r="B188" s="155"/>
      <c r="C188" s="113"/>
      <c r="D188" s="63"/>
      <c r="E188" s="64"/>
      <c r="F188" s="156"/>
    </row>
    <row r="189" spans="1:6" ht="12" customHeight="1">
      <c r="A189" s="155"/>
      <c r="B189" s="155"/>
      <c r="C189" s="113"/>
      <c r="D189" s="111"/>
      <c r="E189" s="113"/>
      <c r="F189" s="156"/>
    </row>
    <row r="190" spans="1:6" ht="12" customHeight="1">
      <c r="A190" s="155"/>
      <c r="B190" s="155"/>
      <c r="C190" s="157"/>
      <c r="D190" s="157"/>
      <c r="E190" s="157"/>
      <c r="F190" s="156"/>
    </row>
    <row r="191" spans="1:6" ht="12" customHeight="1">
      <c r="A191" s="155"/>
      <c r="B191" s="155"/>
      <c r="C191" s="113"/>
      <c r="D191" s="63"/>
      <c r="E191" s="64"/>
      <c r="F191" s="156"/>
    </row>
    <row r="192" spans="1:6" ht="12" customHeight="1">
      <c r="A192" s="155"/>
      <c r="B192" s="155"/>
      <c r="C192" s="113"/>
      <c r="D192" s="111"/>
      <c r="E192" s="113"/>
      <c r="F192" s="156"/>
    </row>
    <row r="193" spans="1:6" ht="12" customHeight="1">
      <c r="A193" s="155"/>
      <c r="B193" s="155"/>
      <c r="C193" s="157"/>
      <c r="D193" s="157"/>
      <c r="E193" s="157"/>
      <c r="F193" s="156"/>
    </row>
    <row r="194" spans="1:6" ht="12" customHeight="1">
      <c r="A194" s="155"/>
      <c r="B194" s="155"/>
      <c r="C194" s="113"/>
      <c r="D194" s="63"/>
      <c r="E194" s="64"/>
      <c r="F194" s="156"/>
    </row>
    <row r="195" spans="1:6" ht="12" customHeight="1">
      <c r="A195" s="155"/>
      <c r="B195" s="155"/>
      <c r="C195" s="113"/>
      <c r="D195" s="111"/>
      <c r="E195" s="113"/>
      <c r="F195" s="156"/>
    </row>
    <row r="196" spans="1:6" ht="12" customHeight="1">
      <c r="A196" s="155"/>
      <c r="B196" s="155"/>
      <c r="C196" s="157"/>
      <c r="D196" s="157"/>
      <c r="E196" s="157"/>
      <c r="F196" s="156"/>
    </row>
    <row r="197" spans="1:6" ht="12" customHeight="1">
      <c r="A197" s="155"/>
      <c r="B197" s="155"/>
      <c r="C197" s="113"/>
      <c r="D197" s="63"/>
      <c r="E197" s="64"/>
      <c r="F197" s="156"/>
    </row>
    <row r="198" spans="1:6" ht="12" customHeight="1">
      <c r="A198" s="155"/>
      <c r="B198" s="155"/>
      <c r="C198" s="113"/>
      <c r="D198" s="111"/>
      <c r="E198" s="113"/>
      <c r="F198" s="156"/>
    </row>
    <row r="199" spans="1:6" ht="12" customHeight="1">
      <c r="A199" s="155"/>
      <c r="B199" s="155"/>
      <c r="C199" s="157"/>
      <c r="D199" s="157"/>
      <c r="E199" s="157"/>
      <c r="F199" s="156"/>
    </row>
    <row r="200" spans="1:6" ht="12" customHeight="1">
      <c r="A200" s="155"/>
      <c r="B200" s="155"/>
      <c r="C200" s="113"/>
      <c r="D200" s="63"/>
      <c r="E200" s="64"/>
      <c r="F200" s="156"/>
    </row>
    <row r="201" spans="1:6" ht="12" customHeight="1">
      <c r="A201" s="155"/>
      <c r="B201" s="155"/>
      <c r="C201" s="113"/>
      <c r="D201" s="111"/>
      <c r="E201" s="113"/>
      <c r="F201" s="156"/>
    </row>
    <row r="202" spans="1:6" ht="12" customHeight="1">
      <c r="A202" s="155"/>
      <c r="B202" s="155"/>
      <c r="C202" s="157"/>
      <c r="D202" s="157"/>
      <c r="E202" s="157"/>
      <c r="F202" s="156"/>
    </row>
    <row r="203" spans="1:6" ht="12" customHeight="1">
      <c r="A203" s="155"/>
      <c r="B203" s="155"/>
      <c r="C203" s="113"/>
      <c r="D203" s="63"/>
      <c r="E203" s="64"/>
      <c r="F203" s="156"/>
    </row>
    <row r="204" spans="1:6" ht="12" customHeight="1">
      <c r="A204" s="155"/>
      <c r="B204" s="155"/>
      <c r="C204" s="113"/>
      <c r="D204" s="111"/>
      <c r="E204" s="113"/>
      <c r="F204" s="156"/>
    </row>
    <row r="205" spans="1:6" ht="12" customHeight="1">
      <c r="A205" s="155"/>
      <c r="B205" s="155"/>
      <c r="C205" s="157"/>
      <c r="D205" s="157"/>
      <c r="E205" s="157"/>
      <c r="F205" s="156"/>
    </row>
    <row r="206" spans="1:6" ht="12" customHeight="1">
      <c r="A206" s="155"/>
      <c r="B206" s="155"/>
      <c r="C206" s="113"/>
      <c r="D206" s="63"/>
      <c r="E206" s="64"/>
      <c r="F206" s="156"/>
    </row>
    <row r="207" spans="1:6" ht="12" customHeight="1">
      <c r="A207" s="155"/>
      <c r="B207" s="155"/>
      <c r="C207" s="113"/>
      <c r="D207" s="111"/>
      <c r="E207" s="113"/>
      <c r="F207" s="156"/>
    </row>
    <row r="208" spans="1:6" ht="12" customHeight="1">
      <c r="A208" s="155"/>
      <c r="B208" s="155"/>
      <c r="C208" s="157"/>
      <c r="D208" s="157"/>
      <c r="E208" s="157"/>
      <c r="F208" s="156"/>
    </row>
    <row r="209" spans="1:6" ht="12" customHeight="1">
      <c r="A209" s="155"/>
      <c r="B209" s="155"/>
      <c r="C209" s="113"/>
      <c r="D209" s="63"/>
      <c r="E209" s="64"/>
      <c r="F209" s="156"/>
    </row>
    <row r="210" spans="1:6" ht="12" customHeight="1">
      <c r="A210" s="155"/>
      <c r="B210" s="155"/>
      <c r="C210" s="113"/>
      <c r="D210" s="111"/>
      <c r="E210" s="113"/>
      <c r="F210" s="156"/>
    </row>
    <row r="211" spans="1:6" ht="12" customHeight="1">
      <c r="A211" s="155"/>
      <c r="B211" s="155"/>
      <c r="C211" s="157"/>
      <c r="D211" s="157"/>
      <c r="E211" s="157"/>
      <c r="F211" s="156"/>
    </row>
    <row r="212" spans="1:6" ht="12" customHeight="1">
      <c r="A212" s="155"/>
      <c r="B212" s="155"/>
      <c r="C212" s="113"/>
      <c r="D212" s="63"/>
      <c r="E212" s="64"/>
      <c r="F212" s="156"/>
    </row>
    <row r="213" spans="1:6" ht="12" customHeight="1">
      <c r="A213" s="155"/>
      <c r="B213" s="155"/>
      <c r="C213" s="113"/>
      <c r="D213" s="111"/>
      <c r="E213" s="113"/>
      <c r="F213" s="156"/>
    </row>
    <row r="214" spans="1:6" ht="12" customHeight="1">
      <c r="A214" s="155"/>
      <c r="B214" s="155"/>
      <c r="C214" s="157"/>
      <c r="D214" s="157"/>
      <c r="E214" s="157"/>
      <c r="F214" s="156"/>
    </row>
    <row r="215" spans="1:6" ht="12" customHeight="1">
      <c r="A215" s="155"/>
      <c r="B215" s="155"/>
      <c r="C215" s="113"/>
      <c r="D215" s="63"/>
      <c r="E215" s="64"/>
      <c r="F215" s="156"/>
    </row>
    <row r="216" spans="1:6" ht="12" customHeight="1">
      <c r="A216" s="155"/>
      <c r="B216" s="155"/>
      <c r="C216" s="113"/>
      <c r="D216" s="111"/>
      <c r="E216" s="113"/>
      <c r="F216" s="156"/>
    </row>
    <row r="217" spans="1:6" ht="12" customHeight="1">
      <c r="A217" s="155"/>
      <c r="B217" s="155"/>
      <c r="C217" s="157"/>
      <c r="D217" s="157"/>
      <c r="E217" s="157"/>
      <c r="F217" s="156"/>
    </row>
    <row r="218" spans="1:6" ht="12" customHeight="1">
      <c r="A218" s="155"/>
      <c r="B218" s="155"/>
      <c r="C218" s="113"/>
      <c r="D218" s="63"/>
      <c r="E218" s="64"/>
      <c r="F218" s="156"/>
    </row>
    <row r="219" spans="1:6" ht="12" customHeight="1">
      <c r="A219" s="155"/>
      <c r="B219" s="155"/>
      <c r="C219" s="113"/>
      <c r="D219" s="111"/>
      <c r="E219" s="113"/>
      <c r="F219" s="156"/>
    </row>
    <row r="220" spans="1:6" ht="12" customHeight="1">
      <c r="A220" s="155"/>
      <c r="B220" s="155"/>
      <c r="C220" s="157"/>
      <c r="D220" s="157"/>
      <c r="E220" s="157"/>
      <c r="F220" s="156"/>
    </row>
    <row r="221" spans="1:6" ht="12" customHeight="1">
      <c r="A221" s="155"/>
      <c r="B221" s="155"/>
      <c r="C221" s="113"/>
      <c r="D221" s="63"/>
      <c r="E221" s="64"/>
      <c r="F221" s="156"/>
    </row>
    <row r="222" spans="1:6" ht="12" customHeight="1">
      <c r="A222" s="155"/>
      <c r="B222" s="155"/>
      <c r="C222" s="113"/>
      <c r="D222" s="111"/>
      <c r="E222" s="113"/>
      <c r="F222" s="156"/>
    </row>
    <row r="223" spans="1:6" ht="12" customHeight="1">
      <c r="A223" s="155"/>
      <c r="B223" s="155"/>
      <c r="C223" s="157"/>
      <c r="D223" s="157"/>
      <c r="E223" s="157"/>
      <c r="F223" s="156"/>
    </row>
    <row r="224" spans="1:6" ht="12" customHeight="1">
      <c r="A224" s="155"/>
      <c r="B224" s="155"/>
      <c r="C224" s="113"/>
      <c r="D224" s="63"/>
      <c r="E224" s="64"/>
      <c r="F224" s="156"/>
    </row>
    <row r="225" spans="1:6" ht="12" customHeight="1">
      <c r="A225" s="155"/>
      <c r="B225" s="155"/>
      <c r="C225" s="113"/>
      <c r="D225" s="111"/>
      <c r="E225" s="113"/>
      <c r="F225" s="156"/>
    </row>
    <row r="226" spans="1:6" ht="12" customHeight="1">
      <c r="A226" s="155"/>
      <c r="B226" s="155"/>
      <c r="C226" s="157"/>
      <c r="D226" s="157"/>
      <c r="E226" s="157"/>
      <c r="F226" s="156"/>
    </row>
    <row r="227" spans="1:6" ht="12" customHeight="1">
      <c r="A227" s="155"/>
      <c r="B227" s="155"/>
      <c r="C227" s="113"/>
      <c r="D227" s="63"/>
      <c r="E227" s="64"/>
      <c r="F227" s="156"/>
    </row>
    <row r="228" spans="1:6" ht="12" customHeight="1">
      <c r="A228" s="155"/>
      <c r="B228" s="155"/>
      <c r="C228" s="113"/>
      <c r="D228" s="111"/>
      <c r="E228" s="113"/>
      <c r="F228" s="156"/>
    </row>
    <row r="229" spans="1:6" ht="12" customHeight="1">
      <c r="A229" s="155"/>
      <c r="B229" s="155"/>
      <c r="C229" s="157"/>
      <c r="D229" s="157"/>
      <c r="E229" s="157"/>
      <c r="F229" s="156"/>
    </row>
    <row r="230" spans="1:6" ht="12" customHeight="1">
      <c r="A230" s="155"/>
      <c r="B230" s="155"/>
      <c r="C230" s="113"/>
      <c r="D230" s="63"/>
      <c r="E230" s="64"/>
      <c r="F230" s="156"/>
    </row>
    <row r="231" spans="1:6" ht="12" customHeight="1">
      <c r="A231" s="155"/>
      <c r="B231" s="155"/>
      <c r="C231" s="113"/>
      <c r="D231" s="111"/>
      <c r="E231" s="113"/>
      <c r="F231" s="156"/>
    </row>
    <row r="232" spans="1:6" ht="12" customHeight="1">
      <c r="A232" s="155"/>
      <c r="B232" s="155"/>
      <c r="C232" s="157"/>
      <c r="D232" s="157"/>
      <c r="E232" s="157"/>
      <c r="F232" s="156"/>
    </row>
    <row r="233" spans="1:6" ht="12" customHeight="1">
      <c r="A233" s="155"/>
      <c r="B233" s="155"/>
      <c r="C233" s="113"/>
      <c r="D233" s="63"/>
      <c r="E233" s="64"/>
      <c r="F233" s="156"/>
    </row>
    <row r="234" spans="1:6" ht="12" customHeight="1">
      <c r="A234" s="155"/>
      <c r="B234" s="155"/>
      <c r="C234" s="113"/>
      <c r="D234" s="111"/>
      <c r="E234" s="113"/>
      <c r="F234" s="156"/>
    </row>
    <row r="235" spans="1:6" ht="12" customHeight="1">
      <c r="A235" s="155"/>
      <c r="B235" s="155"/>
      <c r="C235" s="157"/>
      <c r="D235" s="157"/>
      <c r="E235" s="157"/>
      <c r="F235" s="156"/>
    </row>
    <row r="236" spans="1:6" ht="12" customHeight="1">
      <c r="A236" s="155"/>
      <c r="B236" s="155"/>
      <c r="C236" s="113"/>
      <c r="D236" s="63"/>
      <c r="E236" s="64"/>
      <c r="F236" s="156"/>
    </row>
    <row r="237" spans="1:6" ht="12" customHeight="1">
      <c r="A237" s="155"/>
      <c r="B237" s="155"/>
      <c r="C237" s="113"/>
      <c r="D237" s="111"/>
      <c r="E237" s="113"/>
      <c r="F237" s="156"/>
    </row>
    <row r="238" spans="1:6" ht="12" customHeight="1">
      <c r="A238" s="155"/>
      <c r="B238" s="155"/>
      <c r="C238" s="157"/>
      <c r="D238" s="157"/>
      <c r="E238" s="157"/>
      <c r="F238" s="156"/>
    </row>
    <row r="239" spans="1:6" ht="12" customHeight="1">
      <c r="A239" s="155"/>
      <c r="B239" s="155"/>
      <c r="C239" s="113"/>
      <c r="D239" s="63"/>
      <c r="E239" s="64"/>
      <c r="F239" s="156"/>
    </row>
    <row r="240" spans="1:6" ht="12" customHeight="1">
      <c r="A240" s="155"/>
      <c r="B240" s="155"/>
      <c r="C240" s="113"/>
      <c r="D240" s="111"/>
      <c r="E240" s="113"/>
      <c r="F240" s="156"/>
    </row>
    <row r="241" spans="1:6" ht="12" customHeight="1">
      <c r="A241" s="155"/>
      <c r="B241" s="155"/>
      <c r="C241" s="157"/>
      <c r="D241" s="157"/>
      <c r="E241" s="157"/>
      <c r="F241" s="156"/>
    </row>
    <row r="242" spans="1:6" ht="12" customHeight="1">
      <c r="A242" s="155"/>
      <c r="B242" s="155"/>
      <c r="C242" s="113"/>
      <c r="D242" s="63"/>
      <c r="E242" s="64"/>
      <c r="F242" s="156"/>
    </row>
    <row r="243" spans="1:6" ht="12" customHeight="1">
      <c r="A243" s="155"/>
      <c r="B243" s="155"/>
      <c r="C243" s="113"/>
      <c r="D243" s="111"/>
      <c r="E243" s="113"/>
      <c r="F243" s="156"/>
    </row>
    <row r="244" spans="1:6" ht="12" customHeight="1">
      <c r="A244" s="155"/>
      <c r="B244" s="155"/>
      <c r="C244" s="157"/>
      <c r="D244" s="157"/>
      <c r="E244" s="157"/>
      <c r="F244" s="156"/>
    </row>
    <row r="245" spans="1:6" ht="12" customHeight="1">
      <c r="A245" s="155"/>
      <c r="B245" s="155"/>
      <c r="C245" s="113"/>
      <c r="D245" s="63"/>
      <c r="E245" s="64"/>
      <c r="F245" s="156"/>
    </row>
    <row r="246" spans="1:6" ht="12" customHeight="1">
      <c r="A246" s="155"/>
      <c r="B246" s="155"/>
      <c r="C246" s="113"/>
      <c r="D246" s="111"/>
      <c r="E246" s="113"/>
      <c r="F246" s="156"/>
    </row>
    <row r="247" spans="1:6" ht="12" customHeight="1">
      <c r="A247" s="155"/>
      <c r="B247" s="155"/>
      <c r="C247" s="157"/>
      <c r="D247" s="157"/>
      <c r="E247" s="157"/>
      <c r="F247" s="156"/>
    </row>
    <row r="248" spans="1:6" ht="12" customHeight="1">
      <c r="A248" s="155"/>
      <c r="B248" s="155"/>
      <c r="C248" s="113"/>
      <c r="D248" s="63"/>
      <c r="E248" s="64"/>
      <c r="F248" s="156"/>
    </row>
    <row r="249" spans="1:6" ht="12" customHeight="1">
      <c r="A249" s="155"/>
      <c r="B249" s="155"/>
      <c r="C249" s="113"/>
      <c r="D249" s="111"/>
      <c r="E249" s="113"/>
      <c r="F249" s="156"/>
    </row>
    <row r="250" spans="1:6" ht="12" customHeight="1">
      <c r="A250" s="155"/>
      <c r="B250" s="155"/>
      <c r="C250" s="157"/>
      <c r="D250" s="157"/>
      <c r="E250" s="157"/>
      <c r="F250" s="156"/>
    </row>
    <row r="251" spans="1:6" ht="12" customHeight="1">
      <c r="A251" s="155"/>
      <c r="B251" s="155"/>
      <c r="C251" s="113"/>
      <c r="D251" s="63"/>
      <c r="E251" s="64"/>
      <c r="F251" s="156"/>
    </row>
    <row r="252" spans="1:6" ht="12" customHeight="1">
      <c r="A252" s="155"/>
      <c r="B252" s="155"/>
      <c r="C252" s="113"/>
      <c r="D252" s="111"/>
      <c r="E252" s="113"/>
      <c r="F252" s="156"/>
    </row>
    <row r="253" spans="1:6" ht="12" customHeight="1">
      <c r="A253" s="155"/>
      <c r="B253" s="155"/>
      <c r="C253" s="157"/>
      <c r="D253" s="157"/>
      <c r="E253" s="157"/>
      <c r="F253" s="156"/>
    </row>
    <row r="254" spans="1:6">
      <c r="A254" s="111"/>
      <c r="B254" s="111"/>
      <c r="C254" s="111"/>
      <c r="D254" s="111"/>
      <c r="E254" s="113"/>
      <c r="F254" s="132"/>
    </row>
    <row r="255" spans="1:6">
      <c r="A255" s="111"/>
      <c r="B255" s="111"/>
      <c r="C255" s="111"/>
      <c r="D255" s="111"/>
      <c r="E255" s="113"/>
      <c r="F255" s="132"/>
    </row>
    <row r="256" spans="1:6">
      <c r="A256" s="111"/>
      <c r="B256" s="111"/>
      <c r="C256" s="111"/>
      <c r="D256" s="111"/>
      <c r="E256" s="113"/>
      <c r="F256" s="132"/>
    </row>
    <row r="257" spans="1:6">
      <c r="A257" s="111"/>
      <c r="B257" s="111"/>
      <c r="C257" s="111"/>
      <c r="D257" s="111"/>
      <c r="E257" s="113"/>
      <c r="F257" s="132"/>
    </row>
    <row r="258" spans="1:6">
      <c r="A258" s="111"/>
      <c r="B258" s="111"/>
      <c r="C258" s="111"/>
      <c r="D258" s="111"/>
      <c r="E258" s="113"/>
      <c r="F258" s="132"/>
    </row>
    <row r="259" spans="1:6">
      <c r="A259" s="111"/>
      <c r="B259" s="111"/>
      <c r="C259" s="111"/>
      <c r="D259" s="111"/>
      <c r="E259" s="113"/>
      <c r="F259" s="132"/>
    </row>
  </sheetData>
  <mergeCells count="224">
    <mergeCell ref="A1:F1"/>
    <mergeCell ref="A3:B3"/>
    <mergeCell ref="C3:E4"/>
    <mergeCell ref="F3:F4"/>
    <mergeCell ref="A5:A7"/>
    <mergeCell ref="B5:B7"/>
    <mergeCell ref="F5:F7"/>
    <mergeCell ref="C7:E7"/>
    <mergeCell ref="A8:A10"/>
    <mergeCell ref="B8:B10"/>
    <mergeCell ref="F8:F10"/>
    <mergeCell ref="C10:E10"/>
    <mergeCell ref="A95:A97"/>
    <mergeCell ref="B95:B97"/>
    <mergeCell ref="F95:F97"/>
    <mergeCell ref="C97:E97"/>
    <mergeCell ref="A98:A100"/>
    <mergeCell ref="B98:B100"/>
    <mergeCell ref="F98:F100"/>
    <mergeCell ref="C100:E100"/>
    <mergeCell ref="A107:A109"/>
    <mergeCell ref="B107:B109"/>
    <mergeCell ref="F107:F109"/>
    <mergeCell ref="C109:E109"/>
    <mergeCell ref="A110:A112"/>
    <mergeCell ref="B110:B112"/>
    <mergeCell ref="F110:F112"/>
    <mergeCell ref="C112:E112"/>
    <mergeCell ref="A101:A103"/>
    <mergeCell ref="B101:B103"/>
    <mergeCell ref="F101:F103"/>
    <mergeCell ref="C103:E103"/>
    <mergeCell ref="A104:A106"/>
    <mergeCell ref="B104:B106"/>
    <mergeCell ref="F104:F106"/>
    <mergeCell ref="C106:E106"/>
    <mergeCell ref="A119:A121"/>
    <mergeCell ref="B119:B121"/>
    <mergeCell ref="F119:F121"/>
    <mergeCell ref="C121:E121"/>
    <mergeCell ref="A122:A124"/>
    <mergeCell ref="B122:B124"/>
    <mergeCell ref="F122:F124"/>
    <mergeCell ref="C124:E124"/>
    <mergeCell ref="A113:A115"/>
    <mergeCell ref="B113:B115"/>
    <mergeCell ref="F113:F115"/>
    <mergeCell ref="C115:E115"/>
    <mergeCell ref="A116:A118"/>
    <mergeCell ref="B116:B118"/>
    <mergeCell ref="F116:F118"/>
    <mergeCell ref="C118:E118"/>
    <mergeCell ref="A131:A133"/>
    <mergeCell ref="B131:B133"/>
    <mergeCell ref="F131:F133"/>
    <mergeCell ref="C133:E133"/>
    <mergeCell ref="A134:A136"/>
    <mergeCell ref="B134:B136"/>
    <mergeCell ref="F134:F136"/>
    <mergeCell ref="C136:E136"/>
    <mergeCell ref="A125:A127"/>
    <mergeCell ref="B125:B127"/>
    <mergeCell ref="F125:F127"/>
    <mergeCell ref="C127:E127"/>
    <mergeCell ref="A128:A130"/>
    <mergeCell ref="B128:B130"/>
    <mergeCell ref="F128:F130"/>
    <mergeCell ref="C130:E130"/>
    <mergeCell ref="A143:A145"/>
    <mergeCell ref="B143:B145"/>
    <mergeCell ref="F143:F145"/>
    <mergeCell ref="C145:E145"/>
    <mergeCell ref="A146:A148"/>
    <mergeCell ref="B146:B148"/>
    <mergeCell ref="F146:F148"/>
    <mergeCell ref="C148:E148"/>
    <mergeCell ref="A137:A139"/>
    <mergeCell ref="B137:B139"/>
    <mergeCell ref="F137:F139"/>
    <mergeCell ref="C139:E139"/>
    <mergeCell ref="A140:A142"/>
    <mergeCell ref="B140:B142"/>
    <mergeCell ref="F140:F142"/>
    <mergeCell ref="C142:E142"/>
    <mergeCell ref="A155:A157"/>
    <mergeCell ref="B155:B157"/>
    <mergeCell ref="F155:F157"/>
    <mergeCell ref="C157:E157"/>
    <mergeCell ref="A158:A160"/>
    <mergeCell ref="B158:B160"/>
    <mergeCell ref="F158:F160"/>
    <mergeCell ref="C160:E160"/>
    <mergeCell ref="A149:A151"/>
    <mergeCell ref="B149:B151"/>
    <mergeCell ref="F149:F151"/>
    <mergeCell ref="C151:E151"/>
    <mergeCell ref="A152:A154"/>
    <mergeCell ref="B152:B154"/>
    <mergeCell ref="F152:F154"/>
    <mergeCell ref="C154:E154"/>
    <mergeCell ref="A167:A169"/>
    <mergeCell ref="B167:B169"/>
    <mergeCell ref="F167:F169"/>
    <mergeCell ref="C169:E169"/>
    <mergeCell ref="A170:A172"/>
    <mergeCell ref="B170:B172"/>
    <mergeCell ref="F170:F172"/>
    <mergeCell ref="C172:E172"/>
    <mergeCell ref="A161:A163"/>
    <mergeCell ref="B161:B163"/>
    <mergeCell ref="F161:F163"/>
    <mergeCell ref="C163:E163"/>
    <mergeCell ref="A164:A166"/>
    <mergeCell ref="B164:B166"/>
    <mergeCell ref="F164:F166"/>
    <mergeCell ref="C166:E166"/>
    <mergeCell ref="A179:A181"/>
    <mergeCell ref="B179:B181"/>
    <mergeCell ref="F179:F181"/>
    <mergeCell ref="C181:E181"/>
    <mergeCell ref="A182:A184"/>
    <mergeCell ref="B182:B184"/>
    <mergeCell ref="F182:F184"/>
    <mergeCell ref="C184:E184"/>
    <mergeCell ref="A173:A175"/>
    <mergeCell ref="B173:B175"/>
    <mergeCell ref="F173:F175"/>
    <mergeCell ref="C175:E175"/>
    <mergeCell ref="A176:A178"/>
    <mergeCell ref="B176:B178"/>
    <mergeCell ref="F176:F178"/>
    <mergeCell ref="C178:E178"/>
    <mergeCell ref="A191:A193"/>
    <mergeCell ref="B191:B193"/>
    <mergeCell ref="F191:F193"/>
    <mergeCell ref="C193:E193"/>
    <mergeCell ref="A194:A196"/>
    <mergeCell ref="B194:B196"/>
    <mergeCell ref="F194:F196"/>
    <mergeCell ref="C196:E196"/>
    <mergeCell ref="A185:A187"/>
    <mergeCell ref="B185:B187"/>
    <mergeCell ref="F185:F187"/>
    <mergeCell ref="C187:E187"/>
    <mergeCell ref="A188:A190"/>
    <mergeCell ref="B188:B190"/>
    <mergeCell ref="F188:F190"/>
    <mergeCell ref="C190:E190"/>
    <mergeCell ref="A203:A205"/>
    <mergeCell ref="B203:B205"/>
    <mergeCell ref="F203:F205"/>
    <mergeCell ref="C205:E205"/>
    <mergeCell ref="A206:A208"/>
    <mergeCell ref="B206:B208"/>
    <mergeCell ref="F206:F208"/>
    <mergeCell ref="C208:E208"/>
    <mergeCell ref="A197:A199"/>
    <mergeCell ref="B197:B199"/>
    <mergeCell ref="F197:F199"/>
    <mergeCell ref="C199:E199"/>
    <mergeCell ref="A200:A202"/>
    <mergeCell ref="B200:B202"/>
    <mergeCell ref="F200:F202"/>
    <mergeCell ref="C202:E202"/>
    <mergeCell ref="A215:A217"/>
    <mergeCell ref="B215:B217"/>
    <mergeCell ref="F215:F217"/>
    <mergeCell ref="C217:E217"/>
    <mergeCell ref="A218:A220"/>
    <mergeCell ref="B218:B220"/>
    <mergeCell ref="F218:F220"/>
    <mergeCell ref="C220:E220"/>
    <mergeCell ref="A209:A211"/>
    <mergeCell ref="B209:B211"/>
    <mergeCell ref="F209:F211"/>
    <mergeCell ref="C211:E211"/>
    <mergeCell ref="A212:A214"/>
    <mergeCell ref="B212:B214"/>
    <mergeCell ref="F212:F214"/>
    <mergeCell ref="C214:E214"/>
    <mergeCell ref="A227:A229"/>
    <mergeCell ref="B227:B229"/>
    <mergeCell ref="F227:F229"/>
    <mergeCell ref="C229:E229"/>
    <mergeCell ref="A230:A232"/>
    <mergeCell ref="B230:B232"/>
    <mergeCell ref="F230:F232"/>
    <mergeCell ref="C232:E232"/>
    <mergeCell ref="A221:A223"/>
    <mergeCell ref="B221:B223"/>
    <mergeCell ref="F221:F223"/>
    <mergeCell ref="C223:E223"/>
    <mergeCell ref="A224:A226"/>
    <mergeCell ref="B224:B226"/>
    <mergeCell ref="F224:F226"/>
    <mergeCell ref="C226:E226"/>
    <mergeCell ref="A239:A241"/>
    <mergeCell ref="B239:B241"/>
    <mergeCell ref="F239:F241"/>
    <mergeCell ref="C241:E241"/>
    <mergeCell ref="A242:A244"/>
    <mergeCell ref="B242:B244"/>
    <mergeCell ref="F242:F244"/>
    <mergeCell ref="C244:E244"/>
    <mergeCell ref="A233:A235"/>
    <mergeCell ref="B233:B235"/>
    <mergeCell ref="F233:F235"/>
    <mergeCell ref="C235:E235"/>
    <mergeCell ref="A236:A238"/>
    <mergeCell ref="B236:B238"/>
    <mergeCell ref="F236:F238"/>
    <mergeCell ref="C238:E238"/>
    <mergeCell ref="A251:A253"/>
    <mergeCell ref="B251:B253"/>
    <mergeCell ref="F251:F253"/>
    <mergeCell ref="C253:E253"/>
    <mergeCell ref="A245:A247"/>
    <mergeCell ref="B245:B247"/>
    <mergeCell ref="F245:F247"/>
    <mergeCell ref="C247:E247"/>
    <mergeCell ref="A248:A250"/>
    <mergeCell ref="B248:B250"/>
    <mergeCell ref="F248:F250"/>
    <mergeCell ref="C250:E250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5">
    <pageSetUpPr autoPageBreaks="0"/>
  </sheetPr>
  <dimension ref="A1:J6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7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s="58" customFormat="1" ht="31.5" customHeight="1">
      <c r="A4" s="53" t="s">
        <v>83</v>
      </c>
      <c r="B4" s="116">
        <v>1</v>
      </c>
      <c r="C4" s="55" t="s">
        <v>73</v>
      </c>
      <c r="D4" s="56"/>
      <c r="E4" s="57">
        <v>100</v>
      </c>
      <c r="F4" s="54"/>
      <c r="G4" s="54"/>
      <c r="H4" s="55"/>
      <c r="I4" s="56"/>
      <c r="J4" s="13"/>
    </row>
    <row r="5" spans="1:10" ht="6.75" customHeight="1" thickBot="1">
      <c r="A5" s="9"/>
      <c r="B5" s="10"/>
      <c r="C5" s="26"/>
      <c r="D5" s="27"/>
      <c r="E5" s="12"/>
      <c r="F5" s="10"/>
      <c r="G5" s="10"/>
      <c r="H5" s="26"/>
      <c r="I5" s="27"/>
      <c r="J5" s="11"/>
    </row>
    <row r="6" spans="1:10" s="2" customFormat="1" ht="30" customHeight="1" thickTop="1" thickBot="1">
      <c r="A6" s="182" t="s">
        <v>4</v>
      </c>
      <c r="B6" s="183"/>
      <c r="C6" s="183"/>
      <c r="D6" s="28"/>
      <c r="E6" s="16">
        <f>SUM(E2:E5)</f>
        <v>100</v>
      </c>
      <c r="F6" s="184" t="s">
        <v>5</v>
      </c>
      <c r="G6" s="183"/>
      <c r="H6" s="183"/>
      <c r="I6" s="28"/>
      <c r="J6" s="17">
        <f>SUM(J2:J5)</f>
        <v>0</v>
      </c>
    </row>
  </sheetData>
  <sheetProtection sheet="1" objects="1" scenarios="1"/>
  <mergeCells count="3">
    <mergeCell ref="A1:J1"/>
    <mergeCell ref="A6:C6"/>
    <mergeCell ref="F6:H6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6">
    <pageSetUpPr autoPageBreaks="0"/>
  </sheetPr>
  <dimension ref="A1:J6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8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s="58" customFormat="1" ht="31.5" customHeight="1">
      <c r="A4" s="53"/>
      <c r="B4" s="116"/>
      <c r="C4" s="55"/>
      <c r="D4" s="56"/>
      <c r="E4" s="57"/>
      <c r="F4" s="54" t="s">
        <v>83</v>
      </c>
      <c r="G4" s="54">
        <v>1</v>
      </c>
      <c r="H4" s="55" t="s">
        <v>73</v>
      </c>
      <c r="I4" s="56"/>
      <c r="J4" s="13">
        <v>100</v>
      </c>
    </row>
    <row r="5" spans="1:10" ht="6.75" customHeight="1" thickBot="1">
      <c r="A5" s="9"/>
      <c r="B5" s="10"/>
      <c r="C5" s="26"/>
      <c r="D5" s="27"/>
      <c r="E5" s="12"/>
      <c r="F5" s="10"/>
      <c r="G5" s="10"/>
      <c r="H5" s="26"/>
      <c r="I5" s="27"/>
      <c r="J5" s="11"/>
    </row>
    <row r="6" spans="1:10" s="2" customFormat="1" ht="30" customHeight="1" thickTop="1" thickBot="1">
      <c r="A6" s="182" t="s">
        <v>4</v>
      </c>
      <c r="B6" s="183"/>
      <c r="C6" s="183"/>
      <c r="D6" s="28"/>
      <c r="E6" s="16">
        <f>SUM(E2:E5)</f>
        <v>0</v>
      </c>
      <c r="F6" s="184" t="s">
        <v>5</v>
      </c>
      <c r="G6" s="183"/>
      <c r="H6" s="183"/>
      <c r="I6" s="28"/>
      <c r="J6" s="17">
        <f>SUM(J2:J5)</f>
        <v>100</v>
      </c>
    </row>
  </sheetData>
  <sheetProtection sheet="1" objects="1" scenarios="1"/>
  <mergeCells count="3">
    <mergeCell ref="A1:J1"/>
    <mergeCell ref="A6:C6"/>
    <mergeCell ref="F6:H6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7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9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8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10</v>
      </c>
      <c r="B1" s="179"/>
      <c r="C1" s="185"/>
      <c r="D1" s="185"/>
      <c r="E1" s="185"/>
      <c r="F1" s="185"/>
      <c r="G1" s="185"/>
      <c r="H1" s="185"/>
      <c r="I1" s="185"/>
      <c r="J1" s="186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9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11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0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12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1">
    <pageSetUpPr autoPageBreaks="0"/>
  </sheetPr>
  <dimension ref="A1:J5"/>
  <sheetViews>
    <sheetView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13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51</v>
      </c>
      <c r="G5" s="183"/>
      <c r="H5" s="183"/>
      <c r="I5" s="28"/>
      <c r="J5" s="16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12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14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13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15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15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16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4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17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6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18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7">
    <pageSetUpPr autoPageBreaks="0"/>
  </sheetPr>
  <dimension ref="A1:J5"/>
  <sheetViews>
    <sheetView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19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18">
    <pageSetUpPr autoPageBreaks="0"/>
  </sheetPr>
  <dimension ref="A1:J5"/>
  <sheetViews>
    <sheetView showGridLines="0" showRowColHeaders="0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20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9">
    <pageSetUpPr autoPageBreaks="0"/>
  </sheetPr>
  <dimension ref="A1:J5"/>
  <sheetViews>
    <sheetView tabSelected="1" zoomScale="188" zoomScaleNormal="188" zoomScaleSheetLayoutView="160" workbookViewId="0">
      <selection sqref="A1:J1"/>
    </sheetView>
  </sheetViews>
  <sheetFormatPr defaultColWidth="9.1796875" defaultRowHeight="14.5"/>
  <cols>
    <col min="1" max="1" width="6.81640625" style="3" customWidth="1"/>
    <col min="2" max="2" width="5.26953125" style="3" customWidth="1"/>
    <col min="3" max="3" width="25" style="5" customWidth="1"/>
    <col min="4" max="4" width="0.7265625" style="5" customWidth="1"/>
    <col min="5" max="5" width="10.54296875" style="6" customWidth="1"/>
    <col min="6" max="6" width="6.81640625" style="3" customWidth="1"/>
    <col min="7" max="7" width="5.26953125" style="3" customWidth="1"/>
    <col min="8" max="8" width="25" style="5" customWidth="1"/>
    <col min="9" max="9" width="0.7265625" style="5" customWidth="1"/>
    <col min="10" max="10" width="10.54296875" style="6" customWidth="1"/>
    <col min="11" max="16384" width="9.1796875" style="4"/>
  </cols>
  <sheetData>
    <row r="1" spans="1:10" s="18" customFormat="1" ht="34.5" customHeight="1" thickBot="1">
      <c r="A1" s="178" t="s">
        <v>21</v>
      </c>
      <c r="B1" s="179"/>
      <c r="C1" s="180"/>
      <c r="D1" s="180"/>
      <c r="E1" s="180"/>
      <c r="F1" s="180"/>
      <c r="G1" s="180"/>
      <c r="H1" s="180"/>
      <c r="I1" s="180"/>
      <c r="J1" s="181"/>
    </row>
    <row r="2" spans="1:10" s="1" customFormat="1" ht="38.25" customHeight="1">
      <c r="A2" s="19" t="s">
        <v>0</v>
      </c>
      <c r="B2" s="20" t="s">
        <v>1</v>
      </c>
      <c r="C2" s="23" t="s">
        <v>2</v>
      </c>
      <c r="D2" s="25"/>
      <c r="E2" s="21" t="s">
        <v>3</v>
      </c>
      <c r="F2" s="20" t="s">
        <v>0</v>
      </c>
      <c r="G2" s="20" t="s">
        <v>1</v>
      </c>
      <c r="H2" s="23" t="s">
        <v>2</v>
      </c>
      <c r="I2" s="25"/>
      <c r="J2" s="22" t="s">
        <v>3</v>
      </c>
    </row>
    <row r="3" spans="1:10" s="1" customFormat="1" ht="6.75" customHeight="1">
      <c r="A3" s="7"/>
      <c r="B3" s="8"/>
      <c r="C3" s="24"/>
      <c r="D3" s="29"/>
      <c r="E3" s="14"/>
      <c r="F3" s="8"/>
      <c r="G3" s="8"/>
      <c r="H3" s="24"/>
      <c r="I3" s="29"/>
      <c r="J3" s="15"/>
    </row>
    <row r="4" spans="1:10" ht="6.75" customHeight="1" thickBot="1">
      <c r="A4" s="9"/>
      <c r="B4" s="10"/>
      <c r="C4" s="26"/>
      <c r="D4" s="27"/>
      <c r="E4" s="12"/>
      <c r="F4" s="10"/>
      <c r="G4" s="10"/>
      <c r="H4" s="26"/>
      <c r="I4" s="27"/>
      <c r="J4" s="11"/>
    </row>
    <row r="5" spans="1:10" s="2" customFormat="1" ht="30" customHeight="1" thickTop="1" thickBot="1">
      <c r="A5" s="182" t="s">
        <v>4</v>
      </c>
      <c r="B5" s="183"/>
      <c r="C5" s="183"/>
      <c r="D5" s="28"/>
      <c r="E5" s="16">
        <f>SUM(E2:E4)</f>
        <v>0</v>
      </c>
      <c r="F5" s="184" t="s">
        <v>5</v>
      </c>
      <c r="G5" s="183"/>
      <c r="H5" s="183"/>
      <c r="I5" s="28"/>
      <c r="J5" s="17">
        <f>SUM(J2:J4)</f>
        <v>0</v>
      </c>
    </row>
  </sheetData>
  <sheetProtection sheet="1" objects="1" scenarios="1" selectLockedCells="1"/>
  <mergeCells count="3">
    <mergeCell ref="A1:J1"/>
    <mergeCell ref="A5:C5"/>
    <mergeCell ref="F5:H5"/>
  </mergeCells>
  <printOptions horizontalCentered="1"/>
  <pageMargins left="0.27559055118110237" right="0.19685039370078741" top="0.74803149606299213" bottom="0.74803149606299213" header="0.31496062992125984" footer="0.31496062992125984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3"/>
  <dimension ref="A1:F8"/>
  <sheetViews>
    <sheetView zoomScale="207" zoomScaleNormal="207" workbookViewId="0">
      <pane xSplit="2" ySplit="4" topLeftCell="C5" activePane="bottomRight" state="frozen"/>
      <selection pane="topRight" activeCell="C1" sqref="C1"/>
      <selection pane="bottomLeft" activeCell="A5" sqref="A5"/>
      <selection pane="bottomRight" sqref="A1:J1"/>
    </sheetView>
  </sheetViews>
  <sheetFormatPr defaultColWidth="9.1796875" defaultRowHeight="11.5"/>
  <cols>
    <col min="1" max="2" width="7.453125" style="59" customWidth="1"/>
    <col min="3" max="3" width="28.453125" style="59" customWidth="1"/>
    <col min="4" max="4" width="5" style="59" customWidth="1"/>
    <col min="5" max="5" width="28.453125" style="66" customWidth="1"/>
    <col min="6" max="6" width="10.54296875" style="67" customWidth="1"/>
    <col min="7" max="16384" width="9.1796875" style="76"/>
  </cols>
  <sheetData>
    <row r="1" spans="1:6" s="59" customFormat="1" ht="37.5" customHeight="1" thickBot="1">
      <c r="A1" s="187" t="s">
        <v>43</v>
      </c>
      <c r="B1" s="188"/>
      <c r="C1" s="188"/>
      <c r="D1" s="188"/>
      <c r="E1" s="188"/>
      <c r="F1" s="189"/>
    </row>
    <row r="2" spans="1:6" s="2" customFormat="1" ht="25.5" customHeight="1" thickBot="1">
      <c r="A2" s="1"/>
      <c r="E2" s="5"/>
      <c r="F2" s="75"/>
    </row>
    <row r="3" spans="1:6" s="60" customFormat="1" ht="30.75" customHeight="1">
      <c r="A3" s="190" t="s">
        <v>22</v>
      </c>
      <c r="B3" s="191"/>
      <c r="C3" s="192" t="s">
        <v>23</v>
      </c>
      <c r="D3" s="193"/>
      <c r="E3" s="194"/>
      <c r="F3" s="198" t="s">
        <v>24</v>
      </c>
    </row>
    <row r="4" spans="1:6" s="59" customFormat="1" ht="13.5" customHeight="1">
      <c r="A4" s="61" t="s">
        <v>25</v>
      </c>
      <c r="B4" s="62" t="s">
        <v>26</v>
      </c>
      <c r="C4" s="195"/>
      <c r="D4" s="196"/>
      <c r="E4" s="197"/>
      <c r="F4" s="199"/>
    </row>
    <row r="5" spans="1:6" s="65" customFormat="1" ht="12" customHeight="1">
      <c r="A5" s="167">
        <v>1</v>
      </c>
      <c r="B5" s="170">
        <v>2</v>
      </c>
      <c r="C5" s="108" t="s">
        <v>84</v>
      </c>
      <c r="D5" s="73"/>
      <c r="E5" s="74"/>
      <c r="F5" s="173">
        <v>100</v>
      </c>
    </row>
    <row r="6" spans="1:6" s="65" customFormat="1" ht="12" customHeight="1">
      <c r="A6" s="168"/>
      <c r="B6" s="171"/>
      <c r="C6" s="146" t="s">
        <v>28</v>
      </c>
      <c r="D6" s="107" t="s">
        <v>27</v>
      </c>
      <c r="E6" s="147" t="s">
        <v>29</v>
      </c>
      <c r="F6" s="173"/>
    </row>
    <row r="7" spans="1:6" s="65" customFormat="1" ht="14.25" customHeight="1">
      <c r="A7" s="169"/>
      <c r="B7" s="172"/>
      <c r="C7" s="175" t="s">
        <v>73</v>
      </c>
      <c r="D7" s="176"/>
      <c r="E7" s="177"/>
      <c r="F7" s="174"/>
    </row>
    <row r="8" spans="1:6" ht="3.75" customHeight="1" thickBot="1">
      <c r="A8" s="103"/>
      <c r="B8" s="104"/>
      <c r="C8" s="105"/>
      <c r="D8" s="101"/>
      <c r="E8" s="106"/>
      <c r="F8" s="102"/>
    </row>
  </sheetData>
  <sheetProtection sheet="1" objects="1" scenarios="1"/>
  <mergeCells count="8">
    <mergeCell ref="A1:F1"/>
    <mergeCell ref="A3:B3"/>
    <mergeCell ref="C3:E4"/>
    <mergeCell ref="F3:F4"/>
    <mergeCell ref="A5:A7"/>
    <mergeCell ref="B5:B7"/>
    <mergeCell ref="F5:F7"/>
    <mergeCell ref="C7:E7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21"/>
  <dimension ref="A1:E23"/>
  <sheetViews>
    <sheetView zoomScale="150" zoomScaleNormal="150" workbookViewId="0">
      <selection sqref="A1:E1"/>
    </sheetView>
  </sheetViews>
  <sheetFormatPr defaultColWidth="9.1796875" defaultRowHeight="12" customHeight="1"/>
  <cols>
    <col min="1" max="1" width="8.81640625" style="97" customWidth="1"/>
    <col min="2" max="2" width="28.453125" style="66" customWidth="1"/>
    <col min="3" max="4" width="11.26953125" style="98" customWidth="1"/>
    <col min="5" max="5" width="11.26953125" style="59" customWidth="1"/>
    <col min="6" max="6" width="0.453125" style="59" customWidth="1"/>
    <col min="7" max="16384" width="9.1796875" style="59"/>
  </cols>
  <sheetData>
    <row r="1" spans="1:5" ht="37.5" customHeight="1" thickBot="1">
      <c r="A1" s="204" t="s">
        <v>44</v>
      </c>
      <c r="B1" s="205"/>
      <c r="C1" s="205"/>
      <c r="D1" s="205"/>
      <c r="E1" s="206"/>
    </row>
    <row r="2" spans="1:5" s="2" customFormat="1" ht="15.75" customHeight="1" thickBot="1">
      <c r="A2" s="77"/>
      <c r="B2" s="5"/>
      <c r="C2" s="78"/>
      <c r="D2" s="79"/>
    </row>
    <row r="3" spans="1:5" s="84" customFormat="1" ht="41.25" customHeight="1">
      <c r="A3" s="80" t="s">
        <v>45</v>
      </c>
      <c r="B3" s="81" t="s">
        <v>46</v>
      </c>
      <c r="C3" s="82" t="s">
        <v>47</v>
      </c>
      <c r="D3" s="82" t="s">
        <v>48</v>
      </c>
      <c r="E3" s="83" t="s">
        <v>50</v>
      </c>
    </row>
    <row r="4" spans="1:5" s="84" customFormat="1" ht="4.5" customHeight="1">
      <c r="A4" s="85"/>
      <c r="B4" s="86"/>
      <c r="C4" s="87"/>
      <c r="D4" s="87"/>
      <c r="E4" s="88"/>
    </row>
    <row r="5" spans="1:5" ht="14.25" customHeight="1">
      <c r="A5" s="89">
        <v>1</v>
      </c>
      <c r="B5" s="90" t="s">
        <v>28</v>
      </c>
      <c r="C5" s="109">
        <f>'1'!E6</f>
        <v>100</v>
      </c>
      <c r="D5" s="109">
        <f>'1'!J6</f>
        <v>0</v>
      </c>
      <c r="E5" s="110">
        <f>C5-D5</f>
        <v>100</v>
      </c>
    </row>
    <row r="6" spans="1:5" ht="14.25" customHeight="1">
      <c r="A6" s="89">
        <f>A5+1</f>
        <v>2</v>
      </c>
      <c r="B6" s="90" t="s">
        <v>29</v>
      </c>
      <c r="C6" s="109">
        <f>'2'!E6</f>
        <v>0</v>
      </c>
      <c r="D6" s="109">
        <f>'2'!J6</f>
        <v>100</v>
      </c>
      <c r="E6" s="110">
        <f t="shared" ref="E6:E19" si="0">C6-D6</f>
        <v>-100</v>
      </c>
    </row>
    <row r="7" spans="1:5" ht="14.25" customHeight="1">
      <c r="A7" s="89">
        <f>A6+1</f>
        <v>3</v>
      </c>
      <c r="B7" s="90" t="s">
        <v>30</v>
      </c>
      <c r="C7" s="109">
        <f>'3'!E5</f>
        <v>0</v>
      </c>
      <c r="D7" s="109">
        <f>'3'!J5</f>
        <v>0</v>
      </c>
      <c r="E7" s="110">
        <f t="shared" si="0"/>
        <v>0</v>
      </c>
    </row>
    <row r="8" spans="1:5" ht="14.25" customHeight="1">
      <c r="A8" s="89">
        <f>A7+1</f>
        <v>4</v>
      </c>
      <c r="B8" s="90" t="s">
        <v>31</v>
      </c>
      <c r="C8" s="109">
        <f>'4'!E5</f>
        <v>0</v>
      </c>
      <c r="D8" s="109">
        <f>'4'!J5</f>
        <v>0</v>
      </c>
      <c r="E8" s="110">
        <f t="shared" si="0"/>
        <v>0</v>
      </c>
    </row>
    <row r="9" spans="1:5" ht="14.25" customHeight="1">
      <c r="A9" s="89">
        <f>A8+1</f>
        <v>5</v>
      </c>
      <c r="B9" s="90" t="s">
        <v>32</v>
      </c>
      <c r="C9" s="109">
        <f>'5'!E5</f>
        <v>0</v>
      </c>
      <c r="D9" s="109">
        <f>'5'!J5</f>
        <v>0</v>
      </c>
      <c r="E9" s="110">
        <f t="shared" si="0"/>
        <v>0</v>
      </c>
    </row>
    <row r="10" spans="1:5" ht="14.25" customHeight="1">
      <c r="A10" s="89">
        <f>A9+1</f>
        <v>6</v>
      </c>
      <c r="B10" s="90" t="s">
        <v>33</v>
      </c>
      <c r="C10" s="109">
        <f>'6'!E5</f>
        <v>0</v>
      </c>
      <c r="D10" s="109">
        <f>'6'!J5</f>
        <v>0</v>
      </c>
      <c r="E10" s="110">
        <f t="shared" si="0"/>
        <v>0</v>
      </c>
    </row>
    <row r="11" spans="1:5" ht="14.25" customHeight="1">
      <c r="A11" s="89">
        <v>7</v>
      </c>
      <c r="B11" s="90" t="s">
        <v>34</v>
      </c>
      <c r="C11" s="109">
        <f>'7'!E5</f>
        <v>0</v>
      </c>
      <c r="D11" s="109">
        <f>'7'!J5</f>
        <v>0</v>
      </c>
      <c r="E11" s="110">
        <f t="shared" si="0"/>
        <v>0</v>
      </c>
    </row>
    <row r="12" spans="1:5" ht="14.25" customHeight="1">
      <c r="A12" s="89">
        <v>8</v>
      </c>
      <c r="B12" s="90" t="s">
        <v>35</v>
      </c>
      <c r="C12" s="91">
        <f>'8'!E5</f>
        <v>0</v>
      </c>
      <c r="D12" s="91">
        <f>'8'!J5</f>
        <v>0</v>
      </c>
      <c r="E12" s="92">
        <f t="shared" si="0"/>
        <v>0</v>
      </c>
    </row>
    <row r="13" spans="1:5" ht="14.25" customHeight="1">
      <c r="A13" s="89">
        <v>9</v>
      </c>
      <c r="B13" s="90" t="s">
        <v>36</v>
      </c>
      <c r="C13" s="91">
        <f>'9'!E5</f>
        <v>0</v>
      </c>
      <c r="D13" s="91">
        <f>'9'!J5</f>
        <v>0</v>
      </c>
      <c r="E13" s="92">
        <f t="shared" si="0"/>
        <v>0</v>
      </c>
    </row>
    <row r="14" spans="1:5" ht="14.25" customHeight="1">
      <c r="A14" s="89">
        <v>10</v>
      </c>
      <c r="B14" s="90" t="s">
        <v>37</v>
      </c>
      <c r="C14" s="91">
        <f>'10'!E5</f>
        <v>0</v>
      </c>
      <c r="D14" s="91">
        <f>'10'!J5</f>
        <v>0</v>
      </c>
      <c r="E14" s="92">
        <f t="shared" si="0"/>
        <v>0</v>
      </c>
    </row>
    <row r="15" spans="1:5" ht="14.25" customHeight="1">
      <c r="A15" s="89">
        <v>11</v>
      </c>
      <c r="B15" s="90" t="s">
        <v>38</v>
      </c>
      <c r="C15" s="91">
        <f>'11'!E5</f>
        <v>0</v>
      </c>
      <c r="D15" s="91">
        <f>'11'!J5</f>
        <v>0</v>
      </c>
      <c r="E15" s="92">
        <f t="shared" si="0"/>
        <v>0</v>
      </c>
    </row>
    <row r="16" spans="1:5" ht="14.25" customHeight="1">
      <c r="A16" s="89">
        <v>12</v>
      </c>
      <c r="B16" s="90" t="s">
        <v>39</v>
      </c>
      <c r="C16" s="91">
        <f>'12'!E5</f>
        <v>0</v>
      </c>
      <c r="D16" s="91">
        <f>'12'!J5</f>
        <v>0</v>
      </c>
      <c r="E16" s="92">
        <f t="shared" si="0"/>
        <v>0</v>
      </c>
    </row>
    <row r="17" spans="1:5" ht="14.25" customHeight="1">
      <c r="A17" s="89">
        <v>13</v>
      </c>
      <c r="B17" s="90" t="s">
        <v>40</v>
      </c>
      <c r="C17" s="91">
        <f>'13'!E5</f>
        <v>0</v>
      </c>
      <c r="D17" s="91">
        <f>'13'!J5</f>
        <v>0</v>
      </c>
      <c r="E17" s="92">
        <f t="shared" si="0"/>
        <v>0</v>
      </c>
    </row>
    <row r="18" spans="1:5" ht="14.25" customHeight="1">
      <c r="A18" s="89">
        <v>14</v>
      </c>
      <c r="B18" s="90" t="s">
        <v>41</v>
      </c>
      <c r="C18" s="91">
        <f>'14'!E5</f>
        <v>0</v>
      </c>
      <c r="D18" s="91">
        <f>'14'!J5</f>
        <v>0</v>
      </c>
      <c r="E18" s="92">
        <f t="shared" si="0"/>
        <v>0</v>
      </c>
    </row>
    <row r="19" spans="1:5" ht="14.25" customHeight="1">
      <c r="A19" s="89">
        <v>15</v>
      </c>
      <c r="B19" s="90" t="s">
        <v>42</v>
      </c>
      <c r="C19" s="91">
        <f>'15'!E5</f>
        <v>0</v>
      </c>
      <c r="D19" s="91">
        <f>'15'!J5</f>
        <v>0</v>
      </c>
      <c r="E19" s="92">
        <f t="shared" si="0"/>
        <v>0</v>
      </c>
    </row>
    <row r="20" spans="1:5" s="84" customFormat="1" ht="4.5" customHeight="1" thickBot="1">
      <c r="A20" s="93"/>
      <c r="B20" s="94"/>
      <c r="C20" s="95"/>
      <c r="D20" s="95"/>
      <c r="E20" s="96"/>
    </row>
    <row r="21" spans="1:5" ht="28.5" customHeight="1" thickTop="1" thickBot="1">
      <c r="A21" s="200" t="s">
        <v>49</v>
      </c>
      <c r="B21" s="201"/>
      <c r="C21" s="99">
        <f>SUM(C5:C20)</f>
        <v>100</v>
      </c>
      <c r="D21" s="99">
        <f>SUM(D5:D20)</f>
        <v>100</v>
      </c>
      <c r="E21" s="100">
        <f>SUM(E5:E20)</f>
        <v>0</v>
      </c>
    </row>
    <row r="22" spans="1:5" ht="12" customHeight="1">
      <c r="C22" s="202" t="str">
        <f>IF(C21=D21," ","ERRORE NELLA REGISTRAZIONE DEI CONTI")</f>
        <v xml:space="preserve"> </v>
      </c>
      <c r="D22" s="202"/>
    </row>
    <row r="23" spans="1:5" ht="12" customHeight="1">
      <c r="C23" s="203"/>
      <c r="D23" s="203"/>
    </row>
  </sheetData>
  <sheetProtection sheet="1" objects="1" scenarios="1" selectLockedCells="1"/>
  <mergeCells count="3">
    <mergeCell ref="A21:B21"/>
    <mergeCell ref="C22:D23"/>
    <mergeCell ref="A1:E1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1"/>
  <dimension ref="A1:L6"/>
  <sheetViews>
    <sheetView workbookViewId="0">
      <selection activeCell="J7" sqref="J7"/>
    </sheetView>
  </sheetViews>
  <sheetFormatPr defaultColWidth="13.453125" defaultRowHeight="12.5"/>
  <cols>
    <col min="1" max="1" width="13.453125" style="138"/>
    <col min="2" max="4" width="13.453125" style="140"/>
    <col min="5" max="7" width="13.453125" style="142"/>
    <col min="8" max="10" width="13.453125" style="144"/>
    <col min="11" max="16384" width="13.453125" style="138"/>
  </cols>
  <sheetData>
    <row r="1" spans="1:12">
      <c r="A1" s="138" t="s">
        <v>74</v>
      </c>
    </row>
    <row r="2" spans="1:12">
      <c r="A2" s="138">
        <f>COUNT(A5:A1500)-1</f>
        <v>1</v>
      </c>
    </row>
    <row r="4" spans="1:12" s="139" customFormat="1" ht="29.25" customHeight="1">
      <c r="A4" s="139" t="s">
        <v>45</v>
      </c>
      <c r="B4" s="141" t="s">
        <v>75</v>
      </c>
      <c r="C4" s="141" t="s">
        <v>76</v>
      </c>
      <c r="D4" s="141" t="s">
        <v>81</v>
      </c>
      <c r="E4" s="143" t="s">
        <v>77</v>
      </c>
      <c r="F4" s="143" t="s">
        <v>78</v>
      </c>
      <c r="G4" s="143" t="s">
        <v>81</v>
      </c>
      <c r="H4" s="145" t="s">
        <v>79</v>
      </c>
      <c r="I4" s="145" t="s">
        <v>80</v>
      </c>
      <c r="J4" s="145" t="s">
        <v>81</v>
      </c>
      <c r="L4" s="139" t="s">
        <v>82</v>
      </c>
    </row>
    <row r="5" spans="1:12">
      <c r="A5" s="138">
        <v>0</v>
      </c>
      <c r="B5" s="140">
        <v>0</v>
      </c>
      <c r="C5" s="140">
        <v>0</v>
      </c>
      <c r="D5" s="140">
        <v>0</v>
      </c>
      <c r="E5" s="142">
        <v>0</v>
      </c>
      <c r="F5" s="142">
        <v>0</v>
      </c>
      <c r="G5" s="142">
        <v>0</v>
      </c>
      <c r="H5" s="144">
        <v>0</v>
      </c>
      <c r="I5" s="144">
        <v>0</v>
      </c>
      <c r="J5" s="144">
        <v>0</v>
      </c>
    </row>
    <row r="6" spans="1:12">
      <c r="A6" s="138">
        <v>1</v>
      </c>
      <c r="B6" s="140">
        <v>-100</v>
      </c>
      <c r="D6" s="140">
        <v>-100</v>
      </c>
      <c r="F6" s="142">
        <v>-100</v>
      </c>
      <c r="G6" s="142">
        <v>100</v>
      </c>
      <c r="J6" s="144">
        <v>0</v>
      </c>
      <c r="K6" s="138">
        <v>0</v>
      </c>
      <c r="L6" s="138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21</vt:i4>
      </vt:variant>
      <vt:variant>
        <vt:lpstr>Intervalli denominati</vt:lpstr>
      </vt:variant>
      <vt:variant>
        <vt:i4>1</vt:i4>
      </vt:variant>
    </vt:vector>
  </HeadingPairs>
  <TitlesOfParts>
    <vt:vector size="22" baseType="lpstr">
      <vt:lpstr>Nuova voce</vt:lpstr>
      <vt:lpstr>uses</vt:lpstr>
      <vt:lpstr>uses (2)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Libro Giornale</vt:lpstr>
      <vt:lpstr>Bilancio di verifica</vt:lpstr>
      <vt:lpstr>Graf</vt:lpstr>
      <vt:lpstr>pippo1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2006-09-25T09:17:32Z</dcterms:created>
  <dcterms:modified xsi:type="dcterms:W3CDTF">2022-06-20T20:18:48Z</dcterms:modified>
</cp:coreProperties>
</file>